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台账" sheetId="1" state="visible" r:id="rId1"/>
    <sheet name="网关清单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6" customWidth="1" min="4" max="4"/>
    <col width="15" customWidth="1" min="5" max="5"/>
    <col width="13" customWidth="1" min="6" max="6"/>
    <col width="18" customWidth="1" min="7" max="7"/>
    <col width="22" customWidth="1" min="8" max="8"/>
    <col width="16" customWidth="1" min="9" max="9"/>
    <col width="10" customWidth="1" min="10" max="10"/>
    <col width="12" customWidth="1" min="11" max="11"/>
    <col width="14" customWidth="1" min="12" max="12"/>
    <col width="40" customWidth="1" min="13" max="13"/>
  </cols>
  <sheetData>
    <row r="1">
      <c r="A1" s="1" t="inlineStr">
        <is>
          <t>序号</t>
        </is>
      </c>
      <c r="B1" s="1" t="inlineStr">
        <is>
          <t>设备名称</t>
        </is>
      </c>
      <c r="C1" s="1" t="inlineStr">
        <is>
          <t>品牌/型号</t>
        </is>
      </c>
      <c r="D1" s="1" t="inlineStr">
        <is>
          <t>IP地址</t>
        </is>
      </c>
      <c r="E1" s="1" t="inlineStr">
        <is>
          <t>子网掩码</t>
        </is>
      </c>
      <c r="F1" s="1" t="inlineStr">
        <is>
          <t>网段</t>
        </is>
      </c>
      <c r="G1" s="1" t="inlineStr">
        <is>
          <t>MAC地址</t>
        </is>
      </c>
      <c r="H1" s="1" t="inlineStr">
        <is>
          <t>所在交换机/链路</t>
        </is>
      </c>
      <c r="I1" s="1" t="inlineStr">
        <is>
          <t>位置</t>
        </is>
      </c>
      <c r="J1" s="1" t="inlineStr">
        <is>
          <t>负责人</t>
        </is>
      </c>
      <c r="K1" s="1" t="inlineStr">
        <is>
          <t>登记日期</t>
        </is>
      </c>
      <c r="L1" s="1" t="inlineStr">
        <is>
          <t>冲突状态</t>
        </is>
      </c>
      <c r="M1" s="1" t="inlineStr">
        <is>
          <t>备注</t>
        </is>
      </c>
    </row>
    <row r="2">
      <c r="A2" s="2">
        <f>IF($D2="","",ROW()-1)</f>
        <v/>
      </c>
      <c r="B2" s="2" t="inlineStr">
        <is>
          <t>Siemens 6ES7 288-1ST30-0AA0</t>
        </is>
      </c>
      <c r="C2" s="2" t="inlineStr">
        <is>
          <t>192.168.0.1</t>
        </is>
      </c>
      <c r="D2" s="2" t="inlineStr">
        <is>
          <t>255.255.255.0</t>
        </is>
      </c>
      <c r="E2" s="2" t="inlineStr"/>
      <c r="F2" s="2">
        <f>IF($D2="","",MID($D2,1,FIND("|",SUBSTITUTE($D2,".","|",3))-1)&amp;".x")</f>
        <v/>
      </c>
      <c r="G2" s="2" t="inlineStr"/>
      <c r="H2" s="2" t="inlineStr">
        <is>
          <t>2026-10-30</t>
        </is>
      </c>
      <c r="I2" s="2" t="inlineStr">
        <is>
          <t>示例行：设备 IP 不改，电脑去迁就</t>
        </is>
      </c>
      <c r="J2" s="2" t="n"/>
      <c r="K2" s="2" t="n"/>
      <c r="L2" s="2">
        <f>IF($D2="","",TRIM(IF(COUNTIF($D$2:$D$300,$D2)&gt;1,"重复IP ","")&amp;IF(COUNTIF('网关清单'!$B$2:$B$60,$D2)&gt;0,"撞网关 ","")&amp;IF(AND(COUNTIF($D$2:$D$300,$D2)=1,COUNTIF('网关清单'!$B$2:$B$60,$D2)=0),"OK","")))</f>
        <v/>
      </c>
      <c r="M2" s="2" t="n"/>
    </row>
    <row r="3">
      <c r="A3" s="2">
        <f>IF($D3="","",ROW()-1)</f>
        <v/>
      </c>
      <c r="B3" s="2" t="inlineStr">
        <is>
          <t>某品牌</t>
        </is>
      </c>
      <c r="C3" s="2" t="inlineStr">
        <is>
          <t>192.168.0.1</t>
        </is>
      </c>
      <c r="D3" s="2" t="inlineStr">
        <is>
          <t>255.255.255.0</t>
        </is>
      </c>
      <c r="E3" s="2" t="inlineStr"/>
      <c r="F3" s="2">
        <f>IF($D3="","",MID($D3,1,FIND("|",SUBSTITUTE($D3,".","|",3))-1)&amp;".x")</f>
        <v/>
      </c>
      <c r="G3" s="2" t="inlineStr"/>
      <c r="H3" s="2" t="inlineStr">
        <is>
          <t>2026-10-30</t>
        </is>
      </c>
      <c r="I3" s="2" t="inlineStr">
        <is>
          <t>示例行：与上行同 IP 不同链路 → 走方案三（NAT 或厂商改）</t>
        </is>
      </c>
      <c r="J3" s="2" t="n"/>
      <c r="K3" s="2" t="n"/>
      <c r="L3" s="2">
        <f>IF($D3="","",TRIM(IF(COUNTIF($D$2:$D$300,$D3)&gt;1,"重复IP ","")&amp;IF(COUNTIF('网关清单'!$B$2:$B$60,$D3)&gt;0,"撞网关 ","")&amp;IF(AND(COUNTIF($D$2:$D$300,$D3)=1,COUNTIF('网关清单'!$B$2:$B$60,$D3)=0),"OK","")))</f>
        <v/>
      </c>
      <c r="M3" s="2" t="n"/>
    </row>
    <row r="4">
      <c r="A4" s="2">
        <f>IF($D4="","",ROW()-1)</f>
        <v/>
      </c>
      <c r="B4" s="2" t="inlineStr">
        <is>
          <t>某品牌</t>
        </is>
      </c>
      <c r="C4" s="2" t="inlineStr">
        <is>
          <t>192.168.31.1</t>
        </is>
      </c>
      <c r="D4" s="2" t="inlineStr">
        <is>
          <t>255.255.255.0</t>
        </is>
      </c>
      <c r="E4" s="2" t="inlineStr"/>
      <c r="F4" s="2">
        <f>IF($D4="","",MID($D4,1,FIND("|",SUBSTITUTE($D4,".","|",3))-1)&amp;".x")</f>
        <v/>
      </c>
      <c r="G4" s="2" t="inlineStr"/>
      <c r="H4" s="2" t="inlineStr">
        <is>
          <t>2026-10-30</t>
        </is>
      </c>
      <c r="I4" s="2" t="inlineStr">
        <is>
          <t>示例行：与网关同 IP → 必须物理隔离或改</t>
        </is>
      </c>
      <c r="J4" s="2" t="n"/>
      <c r="K4" s="2" t="n"/>
      <c r="L4" s="2">
        <f>IF($D4="","",TRIM(IF(COUNTIF($D$2:$D$300,$D4)&gt;1,"重复IP ","")&amp;IF(COUNTIF('网关清单'!$B$2:$B$60,$D4)&gt;0,"撞网关 ","")&amp;IF(AND(COUNTIF($D$2:$D$300,$D4)=1,COUNTIF('网关清单'!$B$2:$B$60,$D4)=0),"OK","")))</f>
        <v/>
      </c>
      <c r="M4" s="2" t="n"/>
    </row>
    <row r="5">
      <c r="A5" s="2">
        <f>IF($D5="","",ROW()-1)</f>
        <v/>
      </c>
      <c r="B5" s="2" t="n"/>
      <c r="C5" s="2" t="n"/>
      <c r="D5" s="2" t="n"/>
      <c r="E5" s="2" t="n"/>
      <c r="F5" s="2">
        <f>IF($D5="","",MID($D5,1,FIND("|",SUBSTITUTE($D5,".","|",3))-1)&amp;".x")</f>
        <v/>
      </c>
      <c r="G5" s="2" t="n"/>
      <c r="H5" s="2" t="n"/>
      <c r="I5" s="2" t="n"/>
      <c r="J5" s="2" t="n"/>
      <c r="K5" s="2" t="n"/>
      <c r="L5" s="2">
        <f>IF($D5="","",TRIM(IF(COUNTIF($D$2:$D$300,$D5)&gt;1,"重复IP ","")&amp;IF(COUNTIF('网关清单'!$B$2:$B$60,$D5)&gt;0,"撞网关 ","")&amp;IF(AND(COUNTIF($D$2:$D$300,$D5)=1,COUNTIF('网关清单'!$B$2:$B$60,$D5)=0),"OK","")))</f>
        <v/>
      </c>
      <c r="M5" s="2" t="n"/>
    </row>
    <row r="6">
      <c r="A6" s="2">
        <f>IF($D6="","",ROW()-1)</f>
        <v/>
      </c>
      <c r="B6" s="2" t="n"/>
      <c r="C6" s="2" t="n"/>
      <c r="D6" s="2" t="n"/>
      <c r="E6" s="2" t="n"/>
      <c r="F6" s="2">
        <f>IF($D6="","",MID($D6,1,FIND("|",SUBSTITUTE($D6,".","|",3))-1)&amp;".x")</f>
        <v/>
      </c>
      <c r="G6" s="2" t="n"/>
      <c r="H6" s="2" t="n"/>
      <c r="I6" s="2" t="n"/>
      <c r="J6" s="2" t="n"/>
      <c r="K6" s="2" t="n"/>
      <c r="L6" s="2">
        <f>IF($D6="","",TRIM(IF(COUNTIF($D$2:$D$300,$D6)&gt;1,"重复IP ","")&amp;IF(COUNTIF('网关清单'!$B$2:$B$60,$D6)&gt;0,"撞网关 ","")&amp;IF(AND(COUNTIF($D$2:$D$300,$D6)=1,COUNTIF('网关清单'!$B$2:$B$60,$D6)=0),"OK","")))</f>
        <v/>
      </c>
      <c r="M6" s="2" t="n"/>
    </row>
    <row r="7">
      <c r="A7" s="2">
        <f>IF($D7="","",ROW()-1)</f>
        <v/>
      </c>
      <c r="B7" s="2" t="n"/>
      <c r="C7" s="2" t="n"/>
      <c r="D7" s="2" t="n"/>
      <c r="E7" s="2" t="n"/>
      <c r="F7" s="2">
        <f>IF($D7="","",MID($D7,1,FIND("|",SUBSTITUTE($D7,".","|",3))-1)&amp;".x")</f>
        <v/>
      </c>
      <c r="G7" s="2" t="n"/>
      <c r="H7" s="2" t="n"/>
      <c r="I7" s="2" t="n"/>
      <c r="J7" s="2" t="n"/>
      <c r="K7" s="2" t="n"/>
      <c r="L7" s="2">
        <f>IF($D7="","",TRIM(IF(COUNTIF($D$2:$D$300,$D7)&gt;1,"重复IP ","")&amp;IF(COUNTIF('网关清单'!$B$2:$B$60,$D7)&gt;0,"撞网关 ","")&amp;IF(AND(COUNTIF($D$2:$D$300,$D7)=1,COUNTIF('网关清单'!$B$2:$B$60,$D7)=0),"OK","")))</f>
        <v/>
      </c>
      <c r="M7" s="2" t="n"/>
    </row>
    <row r="8">
      <c r="A8" s="2">
        <f>IF($D8="","",ROW()-1)</f>
        <v/>
      </c>
      <c r="B8" s="2" t="n"/>
      <c r="C8" s="2" t="n"/>
      <c r="D8" s="2" t="n"/>
      <c r="E8" s="2" t="n"/>
      <c r="F8" s="2">
        <f>IF($D8="","",MID($D8,1,FIND("|",SUBSTITUTE($D8,".","|",3))-1)&amp;".x")</f>
        <v/>
      </c>
      <c r="G8" s="2" t="n"/>
      <c r="H8" s="2" t="n"/>
      <c r="I8" s="2" t="n"/>
      <c r="J8" s="2" t="n"/>
      <c r="K8" s="2" t="n"/>
      <c r="L8" s="2">
        <f>IF($D8="","",TRIM(IF(COUNTIF($D$2:$D$300,$D8)&gt;1,"重复IP ","")&amp;IF(COUNTIF('网关清单'!$B$2:$B$60,$D8)&gt;0,"撞网关 ","")&amp;IF(AND(COUNTIF($D$2:$D$300,$D8)=1,COUNTIF('网关清单'!$B$2:$B$60,$D8)=0),"OK","")))</f>
        <v/>
      </c>
      <c r="M8" s="2" t="n"/>
    </row>
    <row r="9">
      <c r="A9" s="2">
        <f>IF($D9="","",ROW()-1)</f>
        <v/>
      </c>
      <c r="B9" s="2" t="n"/>
      <c r="C9" s="2" t="n"/>
      <c r="D9" s="2" t="n"/>
      <c r="E9" s="2" t="n"/>
      <c r="F9" s="2">
        <f>IF($D9="","",MID($D9,1,FIND("|",SUBSTITUTE($D9,".","|",3))-1)&amp;".x")</f>
        <v/>
      </c>
      <c r="G9" s="2" t="n"/>
      <c r="H9" s="2" t="n"/>
      <c r="I9" s="2" t="n"/>
      <c r="J9" s="2" t="n"/>
      <c r="K9" s="2" t="n"/>
      <c r="L9" s="2">
        <f>IF($D9="","",TRIM(IF(COUNTIF($D$2:$D$300,$D9)&gt;1,"重复IP ","")&amp;IF(COUNTIF('网关清单'!$B$2:$B$60,$D9)&gt;0,"撞网关 ","")&amp;IF(AND(COUNTIF($D$2:$D$300,$D9)=1,COUNTIF('网关清单'!$B$2:$B$60,$D9)=0),"OK","")))</f>
        <v/>
      </c>
      <c r="M9" s="2" t="n"/>
    </row>
    <row r="10">
      <c r="A10" s="2">
        <f>IF($D10="","",ROW()-1)</f>
        <v/>
      </c>
      <c r="B10" s="2" t="n"/>
      <c r="C10" s="2" t="n"/>
      <c r="D10" s="2" t="n"/>
      <c r="E10" s="2" t="n"/>
      <c r="F10" s="2">
        <f>IF($D10="","",MID($D10,1,FIND("|",SUBSTITUTE($D10,".","|",3))-1)&amp;".x")</f>
        <v/>
      </c>
      <c r="G10" s="2" t="n"/>
      <c r="H10" s="2" t="n"/>
      <c r="I10" s="2" t="n"/>
      <c r="J10" s="2" t="n"/>
      <c r="K10" s="2" t="n"/>
      <c r="L10" s="2">
        <f>IF($D10="","",TRIM(IF(COUNTIF($D$2:$D$300,$D10)&gt;1,"重复IP ","")&amp;IF(COUNTIF('网关清单'!$B$2:$B$60,$D10)&gt;0,"撞网关 ","")&amp;IF(AND(COUNTIF($D$2:$D$300,$D10)=1,COUNTIF('网关清单'!$B$2:$B$60,$D10)=0),"OK","")))</f>
        <v/>
      </c>
      <c r="M10" s="2" t="n"/>
    </row>
    <row r="11">
      <c r="A11" s="2">
        <f>IF($D11="","",ROW()-1)</f>
        <v/>
      </c>
      <c r="B11" s="2" t="n"/>
      <c r="C11" s="2" t="n"/>
      <c r="D11" s="2" t="n"/>
      <c r="E11" s="2" t="n"/>
      <c r="F11" s="2">
        <f>IF($D11="","",MID($D11,1,FIND("|",SUBSTITUTE($D11,".","|",3))-1)&amp;".x")</f>
        <v/>
      </c>
      <c r="G11" s="2" t="n"/>
      <c r="H11" s="2" t="n"/>
      <c r="I11" s="2" t="n"/>
      <c r="J11" s="2" t="n"/>
      <c r="K11" s="2" t="n"/>
      <c r="L11" s="2">
        <f>IF($D11="","",TRIM(IF(COUNTIF($D$2:$D$300,$D11)&gt;1,"重复IP ","")&amp;IF(COUNTIF('网关清单'!$B$2:$B$60,$D11)&gt;0,"撞网关 ","")&amp;IF(AND(COUNTIF($D$2:$D$300,$D11)=1,COUNTIF('网关清单'!$B$2:$B$60,$D11)=0),"OK","")))</f>
        <v/>
      </c>
      <c r="M11" s="2" t="n"/>
    </row>
    <row r="12">
      <c r="A12" s="2">
        <f>IF($D12="","",ROW()-1)</f>
        <v/>
      </c>
      <c r="B12" s="2" t="n"/>
      <c r="C12" s="2" t="n"/>
      <c r="D12" s="2" t="n"/>
      <c r="E12" s="2" t="n"/>
      <c r="F12" s="2">
        <f>IF($D12="","",MID($D12,1,FIND("|",SUBSTITUTE($D12,".","|",3))-1)&amp;".x")</f>
        <v/>
      </c>
      <c r="G12" s="2" t="n"/>
      <c r="H12" s="2" t="n"/>
      <c r="I12" s="2" t="n"/>
      <c r="J12" s="2" t="n"/>
      <c r="K12" s="2" t="n"/>
      <c r="L12" s="2">
        <f>IF($D12="","",TRIM(IF(COUNTIF($D$2:$D$300,$D12)&gt;1,"重复IP ","")&amp;IF(COUNTIF('网关清单'!$B$2:$B$60,$D12)&gt;0,"撞网关 ","")&amp;IF(AND(COUNTIF($D$2:$D$300,$D12)=1,COUNTIF('网关清单'!$B$2:$B$60,$D12)=0),"OK","")))</f>
        <v/>
      </c>
      <c r="M12" s="2" t="n"/>
    </row>
    <row r="13">
      <c r="A13" s="2">
        <f>IF($D13="","",ROW()-1)</f>
        <v/>
      </c>
      <c r="B13" s="2" t="n"/>
      <c r="C13" s="2" t="n"/>
      <c r="D13" s="2" t="n"/>
      <c r="E13" s="2" t="n"/>
      <c r="F13" s="2">
        <f>IF($D13="","",MID($D13,1,FIND("|",SUBSTITUTE($D13,".","|",3))-1)&amp;".x")</f>
        <v/>
      </c>
      <c r="G13" s="2" t="n"/>
      <c r="H13" s="2" t="n"/>
      <c r="I13" s="2" t="n"/>
      <c r="J13" s="2" t="n"/>
      <c r="K13" s="2" t="n"/>
      <c r="L13" s="2">
        <f>IF($D13="","",TRIM(IF(COUNTIF($D$2:$D$300,$D13)&gt;1,"重复IP ","")&amp;IF(COUNTIF('网关清单'!$B$2:$B$60,$D13)&gt;0,"撞网关 ","")&amp;IF(AND(COUNTIF($D$2:$D$300,$D13)=1,COUNTIF('网关清单'!$B$2:$B$60,$D13)=0),"OK","")))</f>
        <v/>
      </c>
      <c r="M13" s="2" t="n"/>
    </row>
    <row r="14">
      <c r="A14" s="2">
        <f>IF($D14="","",ROW()-1)</f>
        <v/>
      </c>
      <c r="B14" s="2" t="n"/>
      <c r="C14" s="2" t="n"/>
      <c r="D14" s="2" t="n"/>
      <c r="E14" s="2" t="n"/>
      <c r="F14" s="2">
        <f>IF($D14="","",MID($D14,1,FIND("|",SUBSTITUTE($D14,".","|",3))-1)&amp;".x")</f>
        <v/>
      </c>
      <c r="G14" s="2" t="n"/>
      <c r="H14" s="2" t="n"/>
      <c r="I14" s="2" t="n"/>
      <c r="J14" s="2" t="n"/>
      <c r="K14" s="2" t="n"/>
      <c r="L14" s="2">
        <f>IF($D14="","",TRIM(IF(COUNTIF($D$2:$D$300,$D14)&gt;1,"重复IP ","")&amp;IF(COUNTIF('网关清单'!$B$2:$B$60,$D14)&gt;0,"撞网关 ","")&amp;IF(AND(COUNTIF($D$2:$D$300,$D14)=1,COUNTIF('网关清单'!$B$2:$B$60,$D14)=0),"OK","")))</f>
        <v/>
      </c>
      <c r="M14" s="2" t="n"/>
    </row>
    <row r="15">
      <c r="A15" s="2">
        <f>IF($D15="","",ROW()-1)</f>
        <v/>
      </c>
      <c r="B15" s="2" t="n"/>
      <c r="C15" s="2" t="n"/>
      <c r="D15" s="2" t="n"/>
      <c r="E15" s="2" t="n"/>
      <c r="F15" s="2">
        <f>IF($D15="","",MID($D15,1,FIND("|",SUBSTITUTE($D15,".","|",3))-1)&amp;".x")</f>
        <v/>
      </c>
      <c r="G15" s="2" t="n"/>
      <c r="H15" s="2" t="n"/>
      <c r="I15" s="2" t="n"/>
      <c r="J15" s="2" t="n"/>
      <c r="K15" s="2" t="n"/>
      <c r="L15" s="2">
        <f>IF($D15="","",TRIM(IF(COUNTIF($D$2:$D$300,$D15)&gt;1,"重复IP ","")&amp;IF(COUNTIF('网关清单'!$B$2:$B$60,$D15)&gt;0,"撞网关 ","")&amp;IF(AND(COUNTIF($D$2:$D$300,$D15)=1,COUNTIF('网关清单'!$B$2:$B$60,$D15)=0),"OK","")))</f>
        <v/>
      </c>
      <c r="M15" s="2" t="n"/>
    </row>
    <row r="16">
      <c r="A16" s="2">
        <f>IF($D16="","",ROW()-1)</f>
        <v/>
      </c>
      <c r="B16" s="2" t="n"/>
      <c r="C16" s="2" t="n"/>
      <c r="D16" s="2" t="n"/>
      <c r="E16" s="2" t="n"/>
      <c r="F16" s="2">
        <f>IF($D16="","",MID($D16,1,FIND("|",SUBSTITUTE($D16,".","|",3))-1)&amp;".x")</f>
        <v/>
      </c>
      <c r="G16" s="2" t="n"/>
      <c r="H16" s="2" t="n"/>
      <c r="I16" s="2" t="n"/>
      <c r="J16" s="2" t="n"/>
      <c r="K16" s="2" t="n"/>
      <c r="L16" s="2">
        <f>IF($D16="","",TRIM(IF(COUNTIF($D$2:$D$300,$D16)&gt;1,"重复IP ","")&amp;IF(COUNTIF('网关清单'!$B$2:$B$60,$D16)&gt;0,"撞网关 ","")&amp;IF(AND(COUNTIF($D$2:$D$300,$D16)=1,COUNTIF('网关清单'!$B$2:$B$60,$D16)=0),"OK","")))</f>
        <v/>
      </c>
      <c r="M16" s="2" t="n"/>
    </row>
    <row r="17">
      <c r="A17" s="2">
        <f>IF($D17="","",ROW()-1)</f>
        <v/>
      </c>
      <c r="B17" s="2" t="n"/>
      <c r="C17" s="2" t="n"/>
      <c r="D17" s="2" t="n"/>
      <c r="E17" s="2" t="n"/>
      <c r="F17" s="2">
        <f>IF($D17="","",MID($D17,1,FIND("|",SUBSTITUTE($D17,".","|",3))-1)&amp;".x")</f>
        <v/>
      </c>
      <c r="G17" s="2" t="n"/>
      <c r="H17" s="2" t="n"/>
      <c r="I17" s="2" t="n"/>
      <c r="J17" s="2" t="n"/>
      <c r="K17" s="2" t="n"/>
      <c r="L17" s="2">
        <f>IF($D17="","",TRIM(IF(COUNTIF($D$2:$D$300,$D17)&gt;1,"重复IP ","")&amp;IF(COUNTIF('网关清单'!$B$2:$B$60,$D17)&gt;0,"撞网关 ","")&amp;IF(AND(COUNTIF($D$2:$D$300,$D17)=1,COUNTIF('网关清单'!$B$2:$B$60,$D17)=0),"OK","")))</f>
        <v/>
      </c>
      <c r="M17" s="2" t="n"/>
    </row>
    <row r="18">
      <c r="A18" s="2">
        <f>IF($D18="","",ROW()-1)</f>
        <v/>
      </c>
      <c r="B18" s="2" t="n"/>
      <c r="C18" s="2" t="n"/>
      <c r="D18" s="2" t="n"/>
      <c r="E18" s="2" t="n"/>
      <c r="F18" s="2">
        <f>IF($D18="","",MID($D18,1,FIND("|",SUBSTITUTE($D18,".","|",3))-1)&amp;".x")</f>
        <v/>
      </c>
      <c r="G18" s="2" t="n"/>
      <c r="H18" s="2" t="n"/>
      <c r="I18" s="2" t="n"/>
      <c r="J18" s="2" t="n"/>
      <c r="K18" s="2" t="n"/>
      <c r="L18" s="2">
        <f>IF($D18="","",TRIM(IF(COUNTIF($D$2:$D$300,$D18)&gt;1,"重复IP ","")&amp;IF(COUNTIF('网关清单'!$B$2:$B$60,$D18)&gt;0,"撞网关 ","")&amp;IF(AND(COUNTIF($D$2:$D$300,$D18)=1,COUNTIF('网关清单'!$B$2:$B$60,$D18)=0),"OK","")))</f>
        <v/>
      </c>
      <c r="M18" s="2" t="n"/>
    </row>
    <row r="19">
      <c r="A19" s="2">
        <f>IF($D19="","",ROW()-1)</f>
        <v/>
      </c>
      <c r="B19" s="2" t="n"/>
      <c r="C19" s="2" t="n"/>
      <c r="D19" s="2" t="n"/>
      <c r="E19" s="2" t="n"/>
      <c r="F19" s="2">
        <f>IF($D19="","",MID($D19,1,FIND("|",SUBSTITUTE($D19,".","|",3))-1)&amp;".x")</f>
        <v/>
      </c>
      <c r="G19" s="2" t="n"/>
      <c r="H19" s="2" t="n"/>
      <c r="I19" s="2" t="n"/>
      <c r="J19" s="2" t="n"/>
      <c r="K19" s="2" t="n"/>
      <c r="L19" s="2">
        <f>IF($D19="","",TRIM(IF(COUNTIF($D$2:$D$300,$D19)&gt;1,"重复IP ","")&amp;IF(COUNTIF('网关清单'!$B$2:$B$60,$D19)&gt;0,"撞网关 ","")&amp;IF(AND(COUNTIF($D$2:$D$300,$D19)=1,COUNTIF('网关清单'!$B$2:$B$60,$D19)=0),"OK","")))</f>
        <v/>
      </c>
      <c r="M19" s="2" t="n"/>
    </row>
    <row r="20">
      <c r="A20" s="2">
        <f>IF($D20="","",ROW()-1)</f>
        <v/>
      </c>
      <c r="B20" s="2" t="n"/>
      <c r="C20" s="2" t="n"/>
      <c r="D20" s="2" t="n"/>
      <c r="E20" s="2" t="n"/>
      <c r="F20" s="2">
        <f>IF($D20="","",MID($D20,1,FIND("|",SUBSTITUTE($D20,".","|",3))-1)&amp;".x")</f>
        <v/>
      </c>
      <c r="G20" s="2" t="n"/>
      <c r="H20" s="2" t="n"/>
      <c r="I20" s="2" t="n"/>
      <c r="J20" s="2" t="n"/>
      <c r="K20" s="2" t="n"/>
      <c r="L20" s="2">
        <f>IF($D20="","",TRIM(IF(COUNTIF($D$2:$D$300,$D20)&gt;1,"重复IP ","")&amp;IF(COUNTIF('网关清单'!$B$2:$B$60,$D20)&gt;0,"撞网关 ","")&amp;IF(AND(COUNTIF($D$2:$D$300,$D20)=1,COUNTIF('网关清单'!$B$2:$B$60,$D20)=0),"OK","")))</f>
        <v/>
      </c>
      <c r="M20" s="2" t="n"/>
    </row>
    <row r="21">
      <c r="A21" s="2">
        <f>IF($D21="","",ROW()-1)</f>
        <v/>
      </c>
      <c r="B21" s="2" t="n"/>
      <c r="C21" s="2" t="n"/>
      <c r="D21" s="2" t="n"/>
      <c r="E21" s="2" t="n"/>
      <c r="F21" s="2">
        <f>IF($D21="","",MID($D21,1,FIND("|",SUBSTITUTE($D21,".","|",3))-1)&amp;".x")</f>
        <v/>
      </c>
      <c r="G21" s="2" t="n"/>
      <c r="H21" s="2" t="n"/>
      <c r="I21" s="2" t="n"/>
      <c r="J21" s="2" t="n"/>
      <c r="K21" s="2" t="n"/>
      <c r="L21" s="2">
        <f>IF($D21="","",TRIM(IF(COUNTIF($D$2:$D$300,$D21)&gt;1,"重复IP ","")&amp;IF(COUNTIF('网关清单'!$B$2:$B$60,$D21)&gt;0,"撞网关 ","")&amp;IF(AND(COUNTIF($D$2:$D$300,$D21)=1,COUNTIF('网关清单'!$B$2:$B$60,$D21)=0),"OK","")))</f>
        <v/>
      </c>
      <c r="M21" s="2" t="n"/>
    </row>
    <row r="22">
      <c r="A22" s="2">
        <f>IF($D22="","",ROW()-1)</f>
        <v/>
      </c>
      <c r="B22" s="2" t="n"/>
      <c r="C22" s="2" t="n"/>
      <c r="D22" s="2" t="n"/>
      <c r="E22" s="2" t="n"/>
      <c r="F22" s="2">
        <f>IF($D22="","",MID($D22,1,FIND("|",SUBSTITUTE($D22,".","|",3))-1)&amp;".x")</f>
        <v/>
      </c>
      <c r="G22" s="2" t="n"/>
      <c r="H22" s="2" t="n"/>
      <c r="I22" s="2" t="n"/>
      <c r="J22" s="2" t="n"/>
      <c r="K22" s="2" t="n"/>
      <c r="L22" s="2">
        <f>IF($D22="","",TRIM(IF(COUNTIF($D$2:$D$300,$D22)&gt;1,"重复IP ","")&amp;IF(COUNTIF('网关清单'!$B$2:$B$60,$D22)&gt;0,"撞网关 ","")&amp;IF(AND(COUNTIF($D$2:$D$300,$D22)=1,COUNTIF('网关清单'!$B$2:$B$60,$D22)=0),"OK","")))</f>
        <v/>
      </c>
      <c r="M22" s="2" t="n"/>
    </row>
    <row r="23">
      <c r="A23" s="2">
        <f>IF($D23="","",ROW()-1)</f>
        <v/>
      </c>
      <c r="B23" s="2" t="n"/>
      <c r="C23" s="2" t="n"/>
      <c r="D23" s="2" t="n"/>
      <c r="E23" s="2" t="n"/>
      <c r="F23" s="2">
        <f>IF($D23="","",MID($D23,1,FIND("|",SUBSTITUTE($D23,".","|",3))-1)&amp;".x")</f>
        <v/>
      </c>
      <c r="G23" s="2" t="n"/>
      <c r="H23" s="2" t="n"/>
      <c r="I23" s="2" t="n"/>
      <c r="J23" s="2" t="n"/>
      <c r="K23" s="2" t="n"/>
      <c r="L23" s="2">
        <f>IF($D23="","",TRIM(IF(COUNTIF($D$2:$D$300,$D23)&gt;1,"重复IP ","")&amp;IF(COUNTIF('网关清单'!$B$2:$B$60,$D23)&gt;0,"撞网关 ","")&amp;IF(AND(COUNTIF($D$2:$D$300,$D23)=1,COUNTIF('网关清单'!$B$2:$B$60,$D23)=0),"OK","")))</f>
        <v/>
      </c>
      <c r="M23" s="2" t="n"/>
    </row>
    <row r="24">
      <c r="A24" s="2">
        <f>IF($D24="","",ROW()-1)</f>
        <v/>
      </c>
      <c r="B24" s="2" t="n"/>
      <c r="C24" s="2" t="n"/>
      <c r="D24" s="2" t="n"/>
      <c r="E24" s="2" t="n"/>
      <c r="F24" s="2">
        <f>IF($D24="","",MID($D24,1,FIND("|",SUBSTITUTE($D24,".","|",3))-1)&amp;".x")</f>
        <v/>
      </c>
      <c r="G24" s="2" t="n"/>
      <c r="H24" s="2" t="n"/>
      <c r="I24" s="2" t="n"/>
      <c r="J24" s="2" t="n"/>
      <c r="K24" s="2" t="n"/>
      <c r="L24" s="2">
        <f>IF($D24="","",TRIM(IF(COUNTIF($D$2:$D$300,$D24)&gt;1,"重复IP ","")&amp;IF(COUNTIF('网关清单'!$B$2:$B$60,$D24)&gt;0,"撞网关 ","")&amp;IF(AND(COUNTIF($D$2:$D$300,$D24)=1,COUNTIF('网关清单'!$B$2:$B$60,$D24)=0),"OK","")))</f>
        <v/>
      </c>
      <c r="M24" s="2" t="n"/>
    </row>
    <row r="25">
      <c r="A25" s="2">
        <f>IF($D25="","",ROW()-1)</f>
        <v/>
      </c>
      <c r="B25" s="2" t="n"/>
      <c r="C25" s="2" t="n"/>
      <c r="D25" s="2" t="n"/>
      <c r="E25" s="2" t="n"/>
      <c r="F25" s="2">
        <f>IF($D25="","",MID($D25,1,FIND("|",SUBSTITUTE($D25,".","|",3))-1)&amp;".x")</f>
        <v/>
      </c>
      <c r="G25" s="2" t="n"/>
      <c r="H25" s="2" t="n"/>
      <c r="I25" s="2" t="n"/>
      <c r="J25" s="2" t="n"/>
      <c r="K25" s="2" t="n"/>
      <c r="L25" s="2">
        <f>IF($D25="","",TRIM(IF(COUNTIF($D$2:$D$300,$D25)&gt;1,"重复IP ","")&amp;IF(COUNTIF('网关清单'!$B$2:$B$60,$D25)&gt;0,"撞网关 ","")&amp;IF(AND(COUNTIF($D$2:$D$300,$D25)=1,COUNTIF('网关清单'!$B$2:$B$60,$D25)=0),"OK","")))</f>
        <v/>
      </c>
      <c r="M25" s="2" t="n"/>
    </row>
    <row r="26">
      <c r="A26" s="2">
        <f>IF($D26="","",ROW()-1)</f>
        <v/>
      </c>
      <c r="B26" s="2" t="n"/>
      <c r="C26" s="2" t="n"/>
      <c r="D26" s="2" t="n"/>
      <c r="E26" s="2" t="n"/>
      <c r="F26" s="2">
        <f>IF($D26="","",MID($D26,1,FIND("|",SUBSTITUTE($D26,".","|",3))-1)&amp;".x")</f>
        <v/>
      </c>
      <c r="G26" s="2" t="n"/>
      <c r="H26" s="2" t="n"/>
      <c r="I26" s="2" t="n"/>
      <c r="J26" s="2" t="n"/>
      <c r="K26" s="2" t="n"/>
      <c r="L26" s="2">
        <f>IF($D26="","",TRIM(IF(COUNTIF($D$2:$D$300,$D26)&gt;1,"重复IP ","")&amp;IF(COUNTIF('网关清单'!$B$2:$B$60,$D26)&gt;0,"撞网关 ","")&amp;IF(AND(COUNTIF($D$2:$D$300,$D26)=1,COUNTIF('网关清单'!$B$2:$B$60,$D26)=0),"OK","")))</f>
        <v/>
      </c>
      <c r="M26" s="2" t="n"/>
    </row>
    <row r="27">
      <c r="A27" s="2">
        <f>IF($D27="","",ROW()-1)</f>
        <v/>
      </c>
      <c r="B27" s="2" t="n"/>
      <c r="C27" s="2" t="n"/>
      <c r="D27" s="2" t="n"/>
      <c r="E27" s="2" t="n"/>
      <c r="F27" s="2">
        <f>IF($D27="","",MID($D27,1,FIND("|",SUBSTITUTE($D27,".","|",3))-1)&amp;".x")</f>
        <v/>
      </c>
      <c r="G27" s="2" t="n"/>
      <c r="H27" s="2" t="n"/>
      <c r="I27" s="2" t="n"/>
      <c r="J27" s="2" t="n"/>
      <c r="K27" s="2" t="n"/>
      <c r="L27" s="2">
        <f>IF($D27="","",TRIM(IF(COUNTIF($D$2:$D$300,$D27)&gt;1,"重复IP ","")&amp;IF(COUNTIF('网关清单'!$B$2:$B$60,$D27)&gt;0,"撞网关 ","")&amp;IF(AND(COUNTIF($D$2:$D$300,$D27)=1,COUNTIF('网关清单'!$B$2:$B$60,$D27)=0),"OK","")))</f>
        <v/>
      </c>
      <c r="M27" s="2" t="n"/>
    </row>
    <row r="28">
      <c r="A28" s="2">
        <f>IF($D28="","",ROW()-1)</f>
        <v/>
      </c>
      <c r="B28" s="2" t="n"/>
      <c r="C28" s="2" t="n"/>
      <c r="D28" s="2" t="n"/>
      <c r="E28" s="2" t="n"/>
      <c r="F28" s="2">
        <f>IF($D28="","",MID($D28,1,FIND("|",SUBSTITUTE($D28,".","|",3))-1)&amp;".x")</f>
        <v/>
      </c>
      <c r="G28" s="2" t="n"/>
      <c r="H28" s="2" t="n"/>
      <c r="I28" s="2" t="n"/>
      <c r="J28" s="2" t="n"/>
      <c r="K28" s="2" t="n"/>
      <c r="L28" s="2">
        <f>IF($D28="","",TRIM(IF(COUNTIF($D$2:$D$300,$D28)&gt;1,"重复IP ","")&amp;IF(COUNTIF('网关清单'!$B$2:$B$60,$D28)&gt;0,"撞网关 ","")&amp;IF(AND(COUNTIF($D$2:$D$300,$D28)=1,COUNTIF('网关清单'!$B$2:$B$60,$D28)=0),"OK","")))</f>
        <v/>
      </c>
      <c r="M28" s="2" t="n"/>
    </row>
    <row r="29">
      <c r="A29" s="2">
        <f>IF($D29="","",ROW()-1)</f>
        <v/>
      </c>
      <c r="B29" s="2" t="n"/>
      <c r="C29" s="2" t="n"/>
      <c r="D29" s="2" t="n"/>
      <c r="E29" s="2" t="n"/>
      <c r="F29" s="2">
        <f>IF($D29="","",MID($D29,1,FIND("|",SUBSTITUTE($D29,".","|",3))-1)&amp;".x")</f>
        <v/>
      </c>
      <c r="G29" s="2" t="n"/>
      <c r="H29" s="2" t="n"/>
      <c r="I29" s="2" t="n"/>
      <c r="J29" s="2" t="n"/>
      <c r="K29" s="2" t="n"/>
      <c r="L29" s="2">
        <f>IF($D29="","",TRIM(IF(COUNTIF($D$2:$D$300,$D29)&gt;1,"重复IP ","")&amp;IF(COUNTIF('网关清单'!$B$2:$B$60,$D29)&gt;0,"撞网关 ","")&amp;IF(AND(COUNTIF($D$2:$D$300,$D29)=1,COUNTIF('网关清单'!$B$2:$B$60,$D29)=0),"OK","")))</f>
        <v/>
      </c>
      <c r="M29" s="2" t="n"/>
    </row>
    <row r="30">
      <c r="A30" s="2">
        <f>IF($D30="","",ROW()-1)</f>
        <v/>
      </c>
      <c r="B30" s="2" t="n"/>
      <c r="C30" s="2" t="n"/>
      <c r="D30" s="2" t="n"/>
      <c r="E30" s="2" t="n"/>
      <c r="F30" s="2">
        <f>IF($D30="","",MID($D30,1,FIND("|",SUBSTITUTE($D30,".","|",3))-1)&amp;".x")</f>
        <v/>
      </c>
      <c r="G30" s="2" t="n"/>
      <c r="H30" s="2" t="n"/>
      <c r="I30" s="2" t="n"/>
      <c r="J30" s="2" t="n"/>
      <c r="K30" s="2" t="n"/>
      <c r="L30" s="2">
        <f>IF($D30="","",TRIM(IF(COUNTIF($D$2:$D$300,$D30)&gt;1,"重复IP ","")&amp;IF(COUNTIF('网关清单'!$B$2:$B$60,$D30)&gt;0,"撞网关 ","")&amp;IF(AND(COUNTIF($D$2:$D$300,$D30)=1,COUNTIF('网关清单'!$B$2:$B$60,$D30)=0),"OK","")))</f>
        <v/>
      </c>
      <c r="M30" s="2" t="n"/>
    </row>
    <row r="31">
      <c r="A31" s="2">
        <f>IF($D31="","",ROW()-1)</f>
        <v/>
      </c>
      <c r="B31" s="2" t="n"/>
      <c r="C31" s="2" t="n"/>
      <c r="D31" s="2" t="n"/>
      <c r="E31" s="2" t="n"/>
      <c r="F31" s="2">
        <f>IF($D31="","",MID($D31,1,FIND("|",SUBSTITUTE($D31,".","|",3))-1)&amp;".x")</f>
        <v/>
      </c>
      <c r="G31" s="2" t="n"/>
      <c r="H31" s="2" t="n"/>
      <c r="I31" s="2" t="n"/>
      <c r="J31" s="2" t="n"/>
      <c r="K31" s="2" t="n"/>
      <c r="L31" s="2">
        <f>IF($D31="","",TRIM(IF(COUNTIF($D$2:$D$300,$D31)&gt;1,"重复IP ","")&amp;IF(COUNTIF('网关清单'!$B$2:$B$60,$D31)&gt;0,"撞网关 ","")&amp;IF(AND(COUNTIF($D$2:$D$300,$D31)=1,COUNTIF('网关清单'!$B$2:$B$60,$D31)=0),"OK","")))</f>
        <v/>
      </c>
      <c r="M31" s="2" t="n"/>
    </row>
    <row r="32">
      <c r="A32" s="2">
        <f>IF($D32="","",ROW()-1)</f>
        <v/>
      </c>
      <c r="B32" s="2" t="n"/>
      <c r="C32" s="2" t="n"/>
      <c r="D32" s="2" t="n"/>
      <c r="E32" s="2" t="n"/>
      <c r="F32" s="2">
        <f>IF($D32="","",MID($D32,1,FIND("|",SUBSTITUTE($D32,".","|",3))-1)&amp;".x")</f>
        <v/>
      </c>
      <c r="G32" s="2" t="n"/>
      <c r="H32" s="2" t="n"/>
      <c r="I32" s="2" t="n"/>
      <c r="J32" s="2" t="n"/>
      <c r="K32" s="2" t="n"/>
      <c r="L32" s="2">
        <f>IF($D32="","",TRIM(IF(COUNTIF($D$2:$D$300,$D32)&gt;1,"重复IP ","")&amp;IF(COUNTIF('网关清单'!$B$2:$B$60,$D32)&gt;0,"撞网关 ","")&amp;IF(AND(COUNTIF($D$2:$D$300,$D32)=1,COUNTIF('网关清单'!$B$2:$B$60,$D32)=0),"OK","")))</f>
        <v/>
      </c>
      <c r="M32" s="2" t="n"/>
    </row>
    <row r="33">
      <c r="A33" s="2">
        <f>IF($D33="","",ROW()-1)</f>
        <v/>
      </c>
      <c r="B33" s="2" t="n"/>
      <c r="C33" s="2" t="n"/>
      <c r="D33" s="2" t="n"/>
      <c r="E33" s="2" t="n"/>
      <c r="F33" s="2">
        <f>IF($D33="","",MID($D33,1,FIND("|",SUBSTITUTE($D33,".","|",3))-1)&amp;".x")</f>
        <v/>
      </c>
      <c r="G33" s="2" t="n"/>
      <c r="H33" s="2" t="n"/>
      <c r="I33" s="2" t="n"/>
      <c r="J33" s="2" t="n"/>
      <c r="K33" s="2" t="n"/>
      <c r="L33" s="2">
        <f>IF($D33="","",TRIM(IF(COUNTIF($D$2:$D$300,$D33)&gt;1,"重复IP ","")&amp;IF(COUNTIF('网关清单'!$B$2:$B$60,$D33)&gt;0,"撞网关 ","")&amp;IF(AND(COUNTIF($D$2:$D$300,$D33)=1,COUNTIF('网关清单'!$B$2:$B$60,$D33)=0),"OK","")))</f>
        <v/>
      </c>
      <c r="M33" s="2" t="n"/>
    </row>
    <row r="34">
      <c r="A34" s="2">
        <f>IF($D34="","",ROW()-1)</f>
        <v/>
      </c>
      <c r="B34" s="2" t="n"/>
      <c r="C34" s="2" t="n"/>
      <c r="D34" s="2" t="n"/>
      <c r="E34" s="2" t="n"/>
      <c r="F34" s="2">
        <f>IF($D34="","",MID($D34,1,FIND("|",SUBSTITUTE($D34,".","|",3))-1)&amp;".x")</f>
        <v/>
      </c>
      <c r="G34" s="2" t="n"/>
      <c r="H34" s="2" t="n"/>
      <c r="I34" s="2" t="n"/>
      <c r="J34" s="2" t="n"/>
      <c r="K34" s="2" t="n"/>
      <c r="L34" s="2">
        <f>IF($D34="","",TRIM(IF(COUNTIF($D$2:$D$300,$D34)&gt;1,"重复IP ","")&amp;IF(COUNTIF('网关清单'!$B$2:$B$60,$D34)&gt;0,"撞网关 ","")&amp;IF(AND(COUNTIF($D$2:$D$300,$D34)=1,COUNTIF('网关清单'!$B$2:$B$60,$D34)=0),"OK","")))</f>
        <v/>
      </c>
      <c r="M34" s="2" t="n"/>
    </row>
    <row r="35">
      <c r="A35" s="2">
        <f>IF($D35="","",ROW()-1)</f>
        <v/>
      </c>
      <c r="B35" s="2" t="n"/>
      <c r="C35" s="2" t="n"/>
      <c r="D35" s="2" t="n"/>
      <c r="E35" s="2" t="n"/>
      <c r="F35" s="2">
        <f>IF($D35="","",MID($D35,1,FIND("|",SUBSTITUTE($D35,".","|",3))-1)&amp;".x")</f>
        <v/>
      </c>
      <c r="G35" s="2" t="n"/>
      <c r="H35" s="2" t="n"/>
      <c r="I35" s="2" t="n"/>
      <c r="J35" s="2" t="n"/>
      <c r="K35" s="2" t="n"/>
      <c r="L35" s="2">
        <f>IF($D35="","",TRIM(IF(COUNTIF($D$2:$D$300,$D35)&gt;1,"重复IP ","")&amp;IF(COUNTIF('网关清单'!$B$2:$B$60,$D35)&gt;0,"撞网关 ","")&amp;IF(AND(COUNTIF($D$2:$D$300,$D35)=1,COUNTIF('网关清单'!$B$2:$B$60,$D35)=0),"OK","")))</f>
        <v/>
      </c>
      <c r="M35" s="2" t="n"/>
    </row>
    <row r="36">
      <c r="A36" s="2">
        <f>IF($D36="","",ROW()-1)</f>
        <v/>
      </c>
      <c r="B36" s="2" t="n"/>
      <c r="C36" s="2" t="n"/>
      <c r="D36" s="2" t="n"/>
      <c r="E36" s="2" t="n"/>
      <c r="F36" s="2">
        <f>IF($D36="","",MID($D36,1,FIND("|",SUBSTITUTE($D36,".","|",3))-1)&amp;".x")</f>
        <v/>
      </c>
      <c r="G36" s="2" t="n"/>
      <c r="H36" s="2" t="n"/>
      <c r="I36" s="2" t="n"/>
      <c r="J36" s="2" t="n"/>
      <c r="K36" s="2" t="n"/>
      <c r="L36" s="2">
        <f>IF($D36="","",TRIM(IF(COUNTIF($D$2:$D$300,$D36)&gt;1,"重复IP ","")&amp;IF(COUNTIF('网关清单'!$B$2:$B$60,$D36)&gt;0,"撞网关 ","")&amp;IF(AND(COUNTIF($D$2:$D$300,$D36)=1,COUNTIF('网关清单'!$B$2:$B$60,$D36)=0),"OK","")))</f>
        <v/>
      </c>
      <c r="M36" s="2" t="n"/>
    </row>
    <row r="37">
      <c r="A37" s="2">
        <f>IF($D37="","",ROW()-1)</f>
        <v/>
      </c>
      <c r="B37" s="2" t="n"/>
      <c r="C37" s="2" t="n"/>
      <c r="D37" s="2" t="n"/>
      <c r="E37" s="2" t="n"/>
      <c r="F37" s="2">
        <f>IF($D37="","",MID($D37,1,FIND("|",SUBSTITUTE($D37,".","|",3))-1)&amp;".x")</f>
        <v/>
      </c>
      <c r="G37" s="2" t="n"/>
      <c r="H37" s="2" t="n"/>
      <c r="I37" s="2" t="n"/>
      <c r="J37" s="2" t="n"/>
      <c r="K37" s="2" t="n"/>
      <c r="L37" s="2">
        <f>IF($D37="","",TRIM(IF(COUNTIF($D$2:$D$300,$D37)&gt;1,"重复IP ","")&amp;IF(COUNTIF('网关清单'!$B$2:$B$60,$D37)&gt;0,"撞网关 ","")&amp;IF(AND(COUNTIF($D$2:$D$300,$D37)=1,COUNTIF('网关清单'!$B$2:$B$60,$D37)=0),"OK","")))</f>
        <v/>
      </c>
      <c r="M37" s="2" t="n"/>
    </row>
    <row r="38">
      <c r="A38" s="2">
        <f>IF($D38="","",ROW()-1)</f>
        <v/>
      </c>
      <c r="B38" s="2" t="n"/>
      <c r="C38" s="2" t="n"/>
      <c r="D38" s="2" t="n"/>
      <c r="E38" s="2" t="n"/>
      <c r="F38" s="2">
        <f>IF($D38="","",MID($D38,1,FIND("|",SUBSTITUTE($D38,".","|",3))-1)&amp;".x")</f>
        <v/>
      </c>
      <c r="G38" s="2" t="n"/>
      <c r="H38" s="2" t="n"/>
      <c r="I38" s="2" t="n"/>
      <c r="J38" s="2" t="n"/>
      <c r="K38" s="2" t="n"/>
      <c r="L38" s="2">
        <f>IF($D38="","",TRIM(IF(COUNTIF($D$2:$D$300,$D38)&gt;1,"重复IP ","")&amp;IF(COUNTIF('网关清单'!$B$2:$B$60,$D38)&gt;0,"撞网关 ","")&amp;IF(AND(COUNTIF($D$2:$D$300,$D38)=1,COUNTIF('网关清单'!$B$2:$B$60,$D38)=0),"OK","")))</f>
        <v/>
      </c>
      <c r="M38" s="2" t="n"/>
    </row>
    <row r="39">
      <c r="A39" s="2">
        <f>IF($D39="","",ROW()-1)</f>
        <v/>
      </c>
      <c r="B39" s="2" t="n"/>
      <c r="C39" s="2" t="n"/>
      <c r="D39" s="2" t="n"/>
      <c r="E39" s="2" t="n"/>
      <c r="F39" s="2">
        <f>IF($D39="","",MID($D39,1,FIND("|",SUBSTITUTE($D39,".","|",3))-1)&amp;".x")</f>
        <v/>
      </c>
      <c r="G39" s="2" t="n"/>
      <c r="H39" s="2" t="n"/>
      <c r="I39" s="2" t="n"/>
      <c r="J39" s="2" t="n"/>
      <c r="K39" s="2" t="n"/>
      <c r="L39" s="2">
        <f>IF($D39="","",TRIM(IF(COUNTIF($D$2:$D$300,$D39)&gt;1,"重复IP ","")&amp;IF(COUNTIF('网关清单'!$B$2:$B$60,$D39)&gt;0,"撞网关 ","")&amp;IF(AND(COUNTIF($D$2:$D$300,$D39)=1,COUNTIF('网关清单'!$B$2:$B$60,$D39)=0),"OK","")))</f>
        <v/>
      </c>
      <c r="M39" s="2" t="n"/>
    </row>
    <row r="40">
      <c r="A40" s="2">
        <f>IF($D40="","",ROW()-1)</f>
        <v/>
      </c>
      <c r="B40" s="2" t="n"/>
      <c r="C40" s="2" t="n"/>
      <c r="D40" s="2" t="n"/>
      <c r="E40" s="2" t="n"/>
      <c r="F40" s="2">
        <f>IF($D40="","",MID($D40,1,FIND("|",SUBSTITUTE($D40,".","|",3))-1)&amp;".x")</f>
        <v/>
      </c>
      <c r="G40" s="2" t="n"/>
      <c r="H40" s="2" t="n"/>
      <c r="I40" s="2" t="n"/>
      <c r="J40" s="2" t="n"/>
      <c r="K40" s="2" t="n"/>
      <c r="L40" s="2">
        <f>IF($D40="","",TRIM(IF(COUNTIF($D$2:$D$300,$D40)&gt;1,"重复IP ","")&amp;IF(COUNTIF('网关清单'!$B$2:$B$60,$D40)&gt;0,"撞网关 ","")&amp;IF(AND(COUNTIF($D$2:$D$300,$D40)=1,COUNTIF('网关清单'!$B$2:$B$60,$D40)=0),"OK","")))</f>
        <v/>
      </c>
      <c r="M40" s="2" t="n"/>
    </row>
    <row r="41">
      <c r="A41" s="2">
        <f>IF($D41="","",ROW()-1)</f>
        <v/>
      </c>
      <c r="B41" s="2" t="n"/>
      <c r="C41" s="2" t="n"/>
      <c r="D41" s="2" t="n"/>
      <c r="E41" s="2" t="n"/>
      <c r="F41" s="2">
        <f>IF($D41="","",MID($D41,1,FIND("|",SUBSTITUTE($D41,".","|",3))-1)&amp;".x")</f>
        <v/>
      </c>
      <c r="G41" s="2" t="n"/>
      <c r="H41" s="2" t="n"/>
      <c r="I41" s="2" t="n"/>
      <c r="J41" s="2" t="n"/>
      <c r="K41" s="2" t="n"/>
      <c r="L41" s="2">
        <f>IF($D41="","",TRIM(IF(COUNTIF($D$2:$D$300,$D41)&gt;1,"重复IP ","")&amp;IF(COUNTIF('网关清单'!$B$2:$B$60,$D41)&gt;0,"撞网关 ","")&amp;IF(AND(COUNTIF($D$2:$D$300,$D41)=1,COUNTIF('网关清单'!$B$2:$B$60,$D41)=0),"OK","")))</f>
        <v/>
      </c>
      <c r="M41" s="2" t="n"/>
    </row>
    <row r="42">
      <c r="A42" s="2">
        <f>IF($D42="","",ROW()-1)</f>
        <v/>
      </c>
      <c r="B42" s="2" t="n"/>
      <c r="C42" s="2" t="n"/>
      <c r="D42" s="2" t="n"/>
      <c r="E42" s="2" t="n"/>
      <c r="F42" s="2">
        <f>IF($D42="","",MID($D42,1,FIND("|",SUBSTITUTE($D42,".","|",3))-1)&amp;".x")</f>
        <v/>
      </c>
      <c r="G42" s="2" t="n"/>
      <c r="H42" s="2" t="n"/>
      <c r="I42" s="2" t="n"/>
      <c r="J42" s="2" t="n"/>
      <c r="K42" s="2" t="n"/>
      <c r="L42" s="2">
        <f>IF($D42="","",TRIM(IF(COUNTIF($D$2:$D$300,$D42)&gt;1,"重复IP ","")&amp;IF(COUNTIF('网关清单'!$B$2:$B$60,$D42)&gt;0,"撞网关 ","")&amp;IF(AND(COUNTIF($D$2:$D$300,$D42)=1,COUNTIF('网关清单'!$B$2:$B$60,$D42)=0),"OK","")))</f>
        <v/>
      </c>
      <c r="M42" s="2" t="n"/>
    </row>
    <row r="43">
      <c r="A43" s="2">
        <f>IF($D43="","",ROW()-1)</f>
        <v/>
      </c>
      <c r="B43" s="2" t="n"/>
      <c r="C43" s="2" t="n"/>
      <c r="D43" s="2" t="n"/>
      <c r="E43" s="2" t="n"/>
      <c r="F43" s="2">
        <f>IF($D43="","",MID($D43,1,FIND("|",SUBSTITUTE($D43,".","|",3))-1)&amp;".x")</f>
        <v/>
      </c>
      <c r="G43" s="2" t="n"/>
      <c r="H43" s="2" t="n"/>
      <c r="I43" s="2" t="n"/>
      <c r="J43" s="2" t="n"/>
      <c r="K43" s="2" t="n"/>
      <c r="L43" s="2">
        <f>IF($D43="","",TRIM(IF(COUNTIF($D$2:$D$300,$D43)&gt;1,"重复IP ","")&amp;IF(COUNTIF('网关清单'!$B$2:$B$60,$D43)&gt;0,"撞网关 ","")&amp;IF(AND(COUNTIF($D$2:$D$300,$D43)=1,COUNTIF('网关清单'!$B$2:$B$60,$D43)=0),"OK","")))</f>
        <v/>
      </c>
      <c r="M43" s="2" t="n"/>
    </row>
    <row r="44">
      <c r="A44" s="2">
        <f>IF($D44="","",ROW()-1)</f>
        <v/>
      </c>
      <c r="B44" s="2" t="n"/>
      <c r="C44" s="2" t="n"/>
      <c r="D44" s="2" t="n"/>
      <c r="E44" s="2" t="n"/>
      <c r="F44" s="2">
        <f>IF($D44="","",MID($D44,1,FIND("|",SUBSTITUTE($D44,".","|",3))-1)&amp;".x")</f>
        <v/>
      </c>
      <c r="G44" s="2" t="n"/>
      <c r="H44" s="2" t="n"/>
      <c r="I44" s="2" t="n"/>
      <c r="J44" s="2" t="n"/>
      <c r="K44" s="2" t="n"/>
      <c r="L44" s="2">
        <f>IF($D44="","",TRIM(IF(COUNTIF($D$2:$D$300,$D44)&gt;1,"重复IP ","")&amp;IF(COUNTIF('网关清单'!$B$2:$B$60,$D44)&gt;0,"撞网关 ","")&amp;IF(AND(COUNTIF($D$2:$D$300,$D44)=1,COUNTIF('网关清单'!$B$2:$B$60,$D44)=0),"OK","")))</f>
        <v/>
      </c>
      <c r="M44" s="2" t="n"/>
    </row>
    <row r="45">
      <c r="A45" s="2">
        <f>IF($D45="","",ROW()-1)</f>
        <v/>
      </c>
      <c r="B45" s="2" t="n"/>
      <c r="C45" s="2" t="n"/>
      <c r="D45" s="2" t="n"/>
      <c r="E45" s="2" t="n"/>
      <c r="F45" s="2">
        <f>IF($D45="","",MID($D45,1,FIND("|",SUBSTITUTE($D45,".","|",3))-1)&amp;".x")</f>
        <v/>
      </c>
      <c r="G45" s="2" t="n"/>
      <c r="H45" s="2" t="n"/>
      <c r="I45" s="2" t="n"/>
      <c r="J45" s="2" t="n"/>
      <c r="K45" s="2" t="n"/>
      <c r="L45" s="2">
        <f>IF($D45="","",TRIM(IF(COUNTIF($D$2:$D$300,$D45)&gt;1,"重复IP ","")&amp;IF(COUNTIF('网关清单'!$B$2:$B$60,$D45)&gt;0,"撞网关 ","")&amp;IF(AND(COUNTIF($D$2:$D$300,$D45)=1,COUNTIF('网关清单'!$B$2:$B$60,$D45)=0),"OK","")))</f>
        <v/>
      </c>
      <c r="M45" s="2" t="n"/>
    </row>
    <row r="46">
      <c r="A46" s="2">
        <f>IF($D46="","",ROW()-1)</f>
        <v/>
      </c>
      <c r="B46" s="2" t="n"/>
      <c r="C46" s="2" t="n"/>
      <c r="D46" s="2" t="n"/>
      <c r="E46" s="2" t="n"/>
      <c r="F46" s="2">
        <f>IF($D46="","",MID($D46,1,FIND("|",SUBSTITUTE($D46,".","|",3))-1)&amp;".x")</f>
        <v/>
      </c>
      <c r="G46" s="2" t="n"/>
      <c r="H46" s="2" t="n"/>
      <c r="I46" s="2" t="n"/>
      <c r="J46" s="2" t="n"/>
      <c r="K46" s="2" t="n"/>
      <c r="L46" s="2">
        <f>IF($D46="","",TRIM(IF(COUNTIF($D$2:$D$300,$D46)&gt;1,"重复IP ","")&amp;IF(COUNTIF('网关清单'!$B$2:$B$60,$D46)&gt;0,"撞网关 ","")&amp;IF(AND(COUNTIF($D$2:$D$300,$D46)=1,COUNTIF('网关清单'!$B$2:$B$60,$D46)=0),"OK","")))</f>
        <v/>
      </c>
      <c r="M46" s="2" t="n"/>
    </row>
    <row r="47">
      <c r="A47" s="2">
        <f>IF($D47="","",ROW()-1)</f>
        <v/>
      </c>
      <c r="B47" s="2" t="n"/>
      <c r="C47" s="2" t="n"/>
      <c r="D47" s="2" t="n"/>
      <c r="E47" s="2" t="n"/>
      <c r="F47" s="2">
        <f>IF($D47="","",MID($D47,1,FIND("|",SUBSTITUTE($D47,".","|",3))-1)&amp;".x")</f>
        <v/>
      </c>
      <c r="G47" s="2" t="n"/>
      <c r="H47" s="2" t="n"/>
      <c r="I47" s="2" t="n"/>
      <c r="J47" s="2" t="n"/>
      <c r="K47" s="2" t="n"/>
      <c r="L47" s="2">
        <f>IF($D47="","",TRIM(IF(COUNTIF($D$2:$D$300,$D47)&gt;1,"重复IP ","")&amp;IF(COUNTIF('网关清单'!$B$2:$B$60,$D47)&gt;0,"撞网关 ","")&amp;IF(AND(COUNTIF($D$2:$D$300,$D47)=1,COUNTIF('网关清单'!$B$2:$B$60,$D47)=0),"OK","")))</f>
        <v/>
      </c>
      <c r="M47" s="2" t="n"/>
    </row>
    <row r="48">
      <c r="A48" s="2">
        <f>IF($D48="","",ROW()-1)</f>
        <v/>
      </c>
      <c r="B48" s="2" t="n"/>
      <c r="C48" s="2" t="n"/>
      <c r="D48" s="2" t="n"/>
      <c r="E48" s="2" t="n"/>
      <c r="F48" s="2">
        <f>IF($D48="","",MID($D48,1,FIND("|",SUBSTITUTE($D48,".","|",3))-1)&amp;".x")</f>
        <v/>
      </c>
      <c r="G48" s="2" t="n"/>
      <c r="H48" s="2" t="n"/>
      <c r="I48" s="2" t="n"/>
      <c r="J48" s="2" t="n"/>
      <c r="K48" s="2" t="n"/>
      <c r="L48" s="2">
        <f>IF($D48="","",TRIM(IF(COUNTIF($D$2:$D$300,$D48)&gt;1,"重复IP ","")&amp;IF(COUNTIF('网关清单'!$B$2:$B$60,$D48)&gt;0,"撞网关 ","")&amp;IF(AND(COUNTIF($D$2:$D$300,$D48)=1,COUNTIF('网关清单'!$B$2:$B$60,$D48)=0),"OK","")))</f>
        <v/>
      </c>
      <c r="M48" s="2" t="n"/>
    </row>
    <row r="49">
      <c r="A49" s="2">
        <f>IF($D49="","",ROW()-1)</f>
        <v/>
      </c>
      <c r="B49" s="2" t="n"/>
      <c r="C49" s="2" t="n"/>
      <c r="D49" s="2" t="n"/>
      <c r="E49" s="2" t="n"/>
      <c r="F49" s="2">
        <f>IF($D49="","",MID($D49,1,FIND("|",SUBSTITUTE($D49,".","|",3))-1)&amp;".x")</f>
        <v/>
      </c>
      <c r="G49" s="2" t="n"/>
      <c r="H49" s="2" t="n"/>
      <c r="I49" s="2" t="n"/>
      <c r="J49" s="2" t="n"/>
      <c r="K49" s="2" t="n"/>
      <c r="L49" s="2">
        <f>IF($D49="","",TRIM(IF(COUNTIF($D$2:$D$300,$D49)&gt;1,"重复IP ","")&amp;IF(COUNTIF('网关清单'!$B$2:$B$60,$D49)&gt;0,"撞网关 ","")&amp;IF(AND(COUNTIF($D$2:$D$300,$D49)=1,COUNTIF('网关清单'!$B$2:$B$60,$D49)=0),"OK","")))</f>
        <v/>
      </c>
      <c r="M49" s="2" t="n"/>
    </row>
    <row r="50">
      <c r="A50" s="2">
        <f>IF($D50="","",ROW()-1)</f>
        <v/>
      </c>
      <c r="B50" s="2" t="n"/>
      <c r="C50" s="2" t="n"/>
      <c r="D50" s="2" t="n"/>
      <c r="E50" s="2" t="n"/>
      <c r="F50" s="2">
        <f>IF($D50="","",MID($D50,1,FIND("|",SUBSTITUTE($D50,".","|",3))-1)&amp;".x")</f>
        <v/>
      </c>
      <c r="G50" s="2" t="n"/>
      <c r="H50" s="2" t="n"/>
      <c r="I50" s="2" t="n"/>
      <c r="J50" s="2" t="n"/>
      <c r="K50" s="2" t="n"/>
      <c r="L50" s="2">
        <f>IF($D50="","",TRIM(IF(COUNTIF($D$2:$D$300,$D50)&gt;1,"重复IP ","")&amp;IF(COUNTIF('网关清单'!$B$2:$B$60,$D50)&gt;0,"撞网关 ","")&amp;IF(AND(COUNTIF($D$2:$D$300,$D50)=1,COUNTIF('网关清单'!$B$2:$B$60,$D50)=0),"OK","")))</f>
        <v/>
      </c>
      <c r="M50" s="2" t="n"/>
    </row>
    <row r="51">
      <c r="A51" s="2">
        <f>IF($D51="","",ROW()-1)</f>
        <v/>
      </c>
      <c r="B51" s="2" t="n"/>
      <c r="C51" s="2" t="n"/>
      <c r="D51" s="2" t="n"/>
      <c r="E51" s="2" t="n"/>
      <c r="F51" s="2">
        <f>IF($D51="","",MID($D51,1,FIND("|",SUBSTITUTE($D51,".","|",3))-1)&amp;".x")</f>
        <v/>
      </c>
      <c r="G51" s="2" t="n"/>
      <c r="H51" s="2" t="n"/>
      <c r="I51" s="2" t="n"/>
      <c r="J51" s="2" t="n"/>
      <c r="K51" s="2" t="n"/>
      <c r="L51" s="2">
        <f>IF($D51="","",TRIM(IF(COUNTIF($D$2:$D$300,$D51)&gt;1,"重复IP ","")&amp;IF(COUNTIF('网关清单'!$B$2:$B$60,$D51)&gt;0,"撞网关 ","")&amp;IF(AND(COUNTIF($D$2:$D$300,$D51)=1,COUNTIF('网关清单'!$B$2:$B$60,$D51)=0),"OK","")))</f>
        <v/>
      </c>
      <c r="M51" s="2" t="n"/>
    </row>
    <row r="52">
      <c r="A52" s="2">
        <f>IF($D52="","",ROW()-1)</f>
        <v/>
      </c>
      <c r="B52" s="2" t="n"/>
      <c r="C52" s="2" t="n"/>
      <c r="D52" s="2" t="n"/>
      <c r="E52" s="2" t="n"/>
      <c r="F52" s="2">
        <f>IF($D52="","",MID($D52,1,FIND("|",SUBSTITUTE($D52,".","|",3))-1)&amp;".x")</f>
        <v/>
      </c>
      <c r="G52" s="2" t="n"/>
      <c r="H52" s="2" t="n"/>
      <c r="I52" s="2" t="n"/>
      <c r="J52" s="2" t="n"/>
      <c r="K52" s="2" t="n"/>
      <c r="L52" s="2">
        <f>IF($D52="","",TRIM(IF(COUNTIF($D$2:$D$300,$D52)&gt;1,"重复IP ","")&amp;IF(COUNTIF('网关清单'!$B$2:$B$60,$D52)&gt;0,"撞网关 ","")&amp;IF(AND(COUNTIF($D$2:$D$300,$D52)=1,COUNTIF('网关清单'!$B$2:$B$60,$D52)=0),"OK","")))</f>
        <v/>
      </c>
      <c r="M52" s="2" t="n"/>
    </row>
    <row r="53">
      <c r="A53" s="2">
        <f>IF($D53="","",ROW()-1)</f>
        <v/>
      </c>
      <c r="B53" s="2" t="n"/>
      <c r="C53" s="2" t="n"/>
      <c r="D53" s="2" t="n"/>
      <c r="E53" s="2" t="n"/>
      <c r="F53" s="2">
        <f>IF($D53="","",MID($D53,1,FIND("|",SUBSTITUTE($D53,".","|",3))-1)&amp;".x")</f>
        <v/>
      </c>
      <c r="G53" s="2" t="n"/>
      <c r="H53" s="2" t="n"/>
      <c r="I53" s="2" t="n"/>
      <c r="J53" s="2" t="n"/>
      <c r="K53" s="2" t="n"/>
      <c r="L53" s="2">
        <f>IF($D53="","",TRIM(IF(COUNTIF($D$2:$D$300,$D53)&gt;1,"重复IP ","")&amp;IF(COUNTIF('网关清单'!$B$2:$B$60,$D53)&gt;0,"撞网关 ","")&amp;IF(AND(COUNTIF($D$2:$D$300,$D53)=1,COUNTIF('网关清单'!$B$2:$B$60,$D53)=0),"OK","")))</f>
        <v/>
      </c>
      <c r="M53" s="2" t="n"/>
    </row>
    <row r="54">
      <c r="A54" s="2">
        <f>IF($D54="","",ROW()-1)</f>
        <v/>
      </c>
      <c r="B54" s="2" t="n"/>
      <c r="C54" s="2" t="n"/>
      <c r="D54" s="2" t="n"/>
      <c r="E54" s="2" t="n"/>
      <c r="F54" s="2">
        <f>IF($D54="","",MID($D54,1,FIND("|",SUBSTITUTE($D54,".","|",3))-1)&amp;".x")</f>
        <v/>
      </c>
      <c r="G54" s="2" t="n"/>
      <c r="H54" s="2" t="n"/>
      <c r="I54" s="2" t="n"/>
      <c r="J54" s="2" t="n"/>
      <c r="K54" s="2" t="n"/>
      <c r="L54" s="2">
        <f>IF($D54="","",TRIM(IF(COUNTIF($D$2:$D$300,$D54)&gt;1,"重复IP ","")&amp;IF(COUNTIF('网关清单'!$B$2:$B$60,$D54)&gt;0,"撞网关 ","")&amp;IF(AND(COUNTIF($D$2:$D$300,$D54)=1,COUNTIF('网关清单'!$B$2:$B$60,$D54)=0),"OK","")))</f>
        <v/>
      </c>
      <c r="M54" s="2" t="n"/>
    </row>
    <row r="55">
      <c r="A55" s="2">
        <f>IF($D55="","",ROW()-1)</f>
        <v/>
      </c>
      <c r="B55" s="2" t="n"/>
      <c r="C55" s="2" t="n"/>
      <c r="D55" s="2" t="n"/>
      <c r="E55" s="2" t="n"/>
      <c r="F55" s="2">
        <f>IF($D55="","",MID($D55,1,FIND("|",SUBSTITUTE($D55,".","|",3))-1)&amp;".x")</f>
        <v/>
      </c>
      <c r="G55" s="2" t="n"/>
      <c r="H55" s="2" t="n"/>
      <c r="I55" s="2" t="n"/>
      <c r="J55" s="2" t="n"/>
      <c r="K55" s="2" t="n"/>
      <c r="L55" s="2">
        <f>IF($D55="","",TRIM(IF(COUNTIF($D$2:$D$300,$D55)&gt;1,"重复IP ","")&amp;IF(COUNTIF('网关清单'!$B$2:$B$60,$D55)&gt;0,"撞网关 ","")&amp;IF(AND(COUNTIF($D$2:$D$300,$D55)=1,COUNTIF('网关清单'!$B$2:$B$60,$D55)=0),"OK","")))</f>
        <v/>
      </c>
      <c r="M55" s="2" t="n"/>
    </row>
    <row r="56">
      <c r="A56" s="2">
        <f>IF($D56="","",ROW()-1)</f>
        <v/>
      </c>
      <c r="B56" s="2" t="n"/>
      <c r="C56" s="2" t="n"/>
      <c r="D56" s="2" t="n"/>
      <c r="E56" s="2" t="n"/>
      <c r="F56" s="2">
        <f>IF($D56="","",MID($D56,1,FIND("|",SUBSTITUTE($D56,".","|",3))-1)&amp;".x")</f>
        <v/>
      </c>
      <c r="G56" s="2" t="n"/>
      <c r="H56" s="2" t="n"/>
      <c r="I56" s="2" t="n"/>
      <c r="J56" s="2" t="n"/>
      <c r="K56" s="2" t="n"/>
      <c r="L56" s="2">
        <f>IF($D56="","",TRIM(IF(COUNTIF($D$2:$D$300,$D56)&gt;1,"重复IP ","")&amp;IF(COUNTIF('网关清单'!$B$2:$B$60,$D56)&gt;0,"撞网关 ","")&amp;IF(AND(COUNTIF($D$2:$D$300,$D56)=1,COUNTIF('网关清单'!$B$2:$B$60,$D56)=0),"OK","")))</f>
        <v/>
      </c>
      <c r="M56" s="2" t="n"/>
    </row>
    <row r="57">
      <c r="A57" s="2">
        <f>IF($D57="","",ROW()-1)</f>
        <v/>
      </c>
      <c r="B57" s="2" t="n"/>
      <c r="C57" s="2" t="n"/>
      <c r="D57" s="2" t="n"/>
      <c r="E57" s="2" t="n"/>
      <c r="F57" s="2">
        <f>IF($D57="","",MID($D57,1,FIND("|",SUBSTITUTE($D57,".","|",3))-1)&amp;".x")</f>
        <v/>
      </c>
      <c r="G57" s="2" t="n"/>
      <c r="H57" s="2" t="n"/>
      <c r="I57" s="2" t="n"/>
      <c r="J57" s="2" t="n"/>
      <c r="K57" s="2" t="n"/>
      <c r="L57" s="2">
        <f>IF($D57="","",TRIM(IF(COUNTIF($D$2:$D$300,$D57)&gt;1,"重复IP ","")&amp;IF(COUNTIF('网关清单'!$B$2:$B$60,$D57)&gt;0,"撞网关 ","")&amp;IF(AND(COUNTIF($D$2:$D$300,$D57)=1,COUNTIF('网关清单'!$B$2:$B$60,$D57)=0),"OK","")))</f>
        <v/>
      </c>
      <c r="M57" s="2" t="n"/>
    </row>
    <row r="58">
      <c r="A58" s="2">
        <f>IF($D58="","",ROW()-1)</f>
        <v/>
      </c>
      <c r="B58" s="2" t="n"/>
      <c r="C58" s="2" t="n"/>
      <c r="D58" s="2" t="n"/>
      <c r="E58" s="2" t="n"/>
      <c r="F58" s="2">
        <f>IF($D58="","",MID($D58,1,FIND("|",SUBSTITUTE($D58,".","|",3))-1)&amp;".x")</f>
        <v/>
      </c>
      <c r="G58" s="2" t="n"/>
      <c r="H58" s="2" t="n"/>
      <c r="I58" s="2" t="n"/>
      <c r="J58" s="2" t="n"/>
      <c r="K58" s="2" t="n"/>
      <c r="L58" s="2">
        <f>IF($D58="","",TRIM(IF(COUNTIF($D$2:$D$300,$D58)&gt;1,"重复IP ","")&amp;IF(COUNTIF('网关清单'!$B$2:$B$60,$D58)&gt;0,"撞网关 ","")&amp;IF(AND(COUNTIF($D$2:$D$300,$D58)=1,COUNTIF('网关清单'!$B$2:$B$60,$D58)=0),"OK","")))</f>
        <v/>
      </c>
      <c r="M58" s="2" t="n"/>
    </row>
    <row r="59">
      <c r="A59" s="2">
        <f>IF($D59="","",ROW()-1)</f>
        <v/>
      </c>
      <c r="B59" s="2" t="n"/>
      <c r="C59" s="2" t="n"/>
      <c r="D59" s="2" t="n"/>
      <c r="E59" s="2" t="n"/>
      <c r="F59" s="2">
        <f>IF($D59="","",MID($D59,1,FIND("|",SUBSTITUTE($D59,".","|",3))-1)&amp;".x")</f>
        <v/>
      </c>
      <c r="G59" s="2" t="n"/>
      <c r="H59" s="2" t="n"/>
      <c r="I59" s="2" t="n"/>
      <c r="J59" s="2" t="n"/>
      <c r="K59" s="2" t="n"/>
      <c r="L59" s="2">
        <f>IF($D59="","",TRIM(IF(COUNTIF($D$2:$D$300,$D59)&gt;1,"重复IP ","")&amp;IF(COUNTIF('网关清单'!$B$2:$B$60,$D59)&gt;0,"撞网关 ","")&amp;IF(AND(COUNTIF($D$2:$D$300,$D59)=1,COUNTIF('网关清单'!$B$2:$B$60,$D59)=0),"OK","")))</f>
        <v/>
      </c>
      <c r="M59" s="2" t="n"/>
    </row>
    <row r="60">
      <c r="A60" s="2">
        <f>IF($D60="","",ROW()-1)</f>
        <v/>
      </c>
      <c r="B60" s="2" t="n"/>
      <c r="C60" s="2" t="n"/>
      <c r="D60" s="2" t="n"/>
      <c r="E60" s="2" t="n"/>
      <c r="F60" s="2">
        <f>IF($D60="","",MID($D60,1,FIND("|",SUBSTITUTE($D60,".","|",3))-1)&amp;".x")</f>
        <v/>
      </c>
      <c r="G60" s="2" t="n"/>
      <c r="H60" s="2" t="n"/>
      <c r="I60" s="2" t="n"/>
      <c r="J60" s="2" t="n"/>
      <c r="K60" s="2" t="n"/>
      <c r="L60" s="2">
        <f>IF($D60="","",TRIM(IF(COUNTIF($D$2:$D$300,$D60)&gt;1,"重复IP ","")&amp;IF(COUNTIF('网关清单'!$B$2:$B$60,$D60)&gt;0,"撞网关 ","")&amp;IF(AND(COUNTIF($D$2:$D$300,$D60)=1,COUNTIF('网关清单'!$B$2:$B$60,$D60)=0),"OK","")))</f>
        <v/>
      </c>
      <c r="M60" s="2" t="n"/>
    </row>
    <row r="61">
      <c r="A61" s="2">
        <f>IF($D61="","",ROW()-1)</f>
        <v/>
      </c>
      <c r="B61" s="2" t="n"/>
      <c r="C61" s="2" t="n"/>
      <c r="D61" s="2" t="n"/>
      <c r="E61" s="2" t="n"/>
      <c r="F61" s="2">
        <f>IF($D61="","",MID($D61,1,FIND("|",SUBSTITUTE($D61,".","|",3))-1)&amp;".x")</f>
        <v/>
      </c>
      <c r="G61" s="2" t="n"/>
      <c r="H61" s="2" t="n"/>
      <c r="I61" s="2" t="n"/>
      <c r="J61" s="2" t="n"/>
      <c r="K61" s="2" t="n"/>
      <c r="L61" s="2">
        <f>IF($D61="","",TRIM(IF(COUNTIF($D$2:$D$300,$D61)&gt;1,"重复IP ","")&amp;IF(COUNTIF('网关清单'!$B$2:$B$60,$D61)&gt;0,"撞网关 ","")&amp;IF(AND(COUNTIF($D$2:$D$300,$D61)=1,COUNTIF('网关清单'!$B$2:$B$60,$D61)=0),"OK","")))</f>
        <v/>
      </c>
      <c r="M61" s="2" t="n"/>
    </row>
    <row r="62">
      <c r="A62" s="2">
        <f>IF($D62="","",ROW()-1)</f>
        <v/>
      </c>
      <c r="B62" s="2" t="n"/>
      <c r="C62" s="2" t="n"/>
      <c r="D62" s="2" t="n"/>
      <c r="E62" s="2" t="n"/>
      <c r="F62" s="2">
        <f>IF($D62="","",MID($D62,1,FIND("|",SUBSTITUTE($D62,".","|",3))-1)&amp;".x")</f>
        <v/>
      </c>
      <c r="G62" s="2" t="n"/>
      <c r="H62" s="2" t="n"/>
      <c r="I62" s="2" t="n"/>
      <c r="J62" s="2" t="n"/>
      <c r="K62" s="2" t="n"/>
      <c r="L62" s="2">
        <f>IF($D62="","",TRIM(IF(COUNTIF($D$2:$D$300,$D62)&gt;1,"重复IP ","")&amp;IF(COUNTIF('网关清单'!$B$2:$B$60,$D62)&gt;0,"撞网关 ","")&amp;IF(AND(COUNTIF($D$2:$D$300,$D62)=1,COUNTIF('网关清单'!$B$2:$B$60,$D62)=0),"OK","")))</f>
        <v/>
      </c>
      <c r="M62" s="2" t="n"/>
    </row>
    <row r="63">
      <c r="A63" s="2">
        <f>IF($D63="","",ROW()-1)</f>
        <v/>
      </c>
      <c r="B63" s="2" t="n"/>
      <c r="C63" s="2" t="n"/>
      <c r="D63" s="2" t="n"/>
      <c r="E63" s="2" t="n"/>
      <c r="F63" s="2">
        <f>IF($D63="","",MID($D63,1,FIND("|",SUBSTITUTE($D63,".","|",3))-1)&amp;".x")</f>
        <v/>
      </c>
      <c r="G63" s="2" t="n"/>
      <c r="H63" s="2" t="n"/>
      <c r="I63" s="2" t="n"/>
      <c r="J63" s="2" t="n"/>
      <c r="K63" s="2" t="n"/>
      <c r="L63" s="2">
        <f>IF($D63="","",TRIM(IF(COUNTIF($D$2:$D$300,$D63)&gt;1,"重复IP ","")&amp;IF(COUNTIF('网关清单'!$B$2:$B$60,$D63)&gt;0,"撞网关 ","")&amp;IF(AND(COUNTIF($D$2:$D$300,$D63)=1,COUNTIF('网关清单'!$B$2:$B$60,$D63)=0),"OK","")))</f>
        <v/>
      </c>
      <c r="M63" s="2" t="n"/>
    </row>
    <row r="64">
      <c r="A64" s="2">
        <f>IF($D64="","",ROW()-1)</f>
        <v/>
      </c>
      <c r="B64" s="2" t="n"/>
      <c r="C64" s="2" t="n"/>
      <c r="D64" s="2" t="n"/>
      <c r="E64" s="2" t="n"/>
      <c r="F64" s="2">
        <f>IF($D64="","",MID($D64,1,FIND("|",SUBSTITUTE($D64,".","|",3))-1)&amp;".x")</f>
        <v/>
      </c>
      <c r="G64" s="2" t="n"/>
      <c r="H64" s="2" t="n"/>
      <c r="I64" s="2" t="n"/>
      <c r="J64" s="2" t="n"/>
      <c r="K64" s="2" t="n"/>
      <c r="L64" s="2">
        <f>IF($D64="","",TRIM(IF(COUNTIF($D$2:$D$300,$D64)&gt;1,"重复IP ","")&amp;IF(COUNTIF('网关清单'!$B$2:$B$60,$D64)&gt;0,"撞网关 ","")&amp;IF(AND(COUNTIF($D$2:$D$300,$D64)=1,COUNTIF('网关清单'!$B$2:$B$60,$D64)=0),"OK","")))</f>
        <v/>
      </c>
      <c r="M64" s="2" t="n"/>
    </row>
    <row r="65">
      <c r="A65" s="2">
        <f>IF($D65="","",ROW()-1)</f>
        <v/>
      </c>
      <c r="B65" s="2" t="n"/>
      <c r="C65" s="2" t="n"/>
      <c r="D65" s="2" t="n"/>
      <c r="E65" s="2" t="n"/>
      <c r="F65" s="2">
        <f>IF($D65="","",MID($D65,1,FIND("|",SUBSTITUTE($D65,".","|",3))-1)&amp;".x")</f>
        <v/>
      </c>
      <c r="G65" s="2" t="n"/>
      <c r="H65" s="2" t="n"/>
      <c r="I65" s="2" t="n"/>
      <c r="J65" s="2" t="n"/>
      <c r="K65" s="2" t="n"/>
      <c r="L65" s="2">
        <f>IF($D65="","",TRIM(IF(COUNTIF($D$2:$D$300,$D65)&gt;1,"重复IP ","")&amp;IF(COUNTIF('网关清单'!$B$2:$B$60,$D65)&gt;0,"撞网关 ","")&amp;IF(AND(COUNTIF($D$2:$D$300,$D65)=1,COUNTIF('网关清单'!$B$2:$B$60,$D65)=0),"OK","")))</f>
        <v/>
      </c>
      <c r="M65" s="2" t="n"/>
    </row>
    <row r="66">
      <c r="A66" s="2">
        <f>IF($D66="","",ROW()-1)</f>
        <v/>
      </c>
      <c r="B66" s="2" t="n"/>
      <c r="C66" s="2" t="n"/>
      <c r="D66" s="2" t="n"/>
      <c r="E66" s="2" t="n"/>
      <c r="F66" s="2">
        <f>IF($D66="","",MID($D66,1,FIND("|",SUBSTITUTE($D66,".","|",3))-1)&amp;".x")</f>
        <v/>
      </c>
      <c r="G66" s="2" t="n"/>
      <c r="H66" s="2" t="n"/>
      <c r="I66" s="2" t="n"/>
      <c r="J66" s="2" t="n"/>
      <c r="K66" s="2" t="n"/>
      <c r="L66" s="2">
        <f>IF($D66="","",TRIM(IF(COUNTIF($D$2:$D$300,$D66)&gt;1,"重复IP ","")&amp;IF(COUNTIF('网关清单'!$B$2:$B$60,$D66)&gt;0,"撞网关 ","")&amp;IF(AND(COUNTIF($D$2:$D$300,$D66)=1,COUNTIF('网关清单'!$B$2:$B$60,$D66)=0),"OK","")))</f>
        <v/>
      </c>
      <c r="M66" s="2" t="n"/>
    </row>
    <row r="67">
      <c r="A67" s="2">
        <f>IF($D67="","",ROW()-1)</f>
        <v/>
      </c>
      <c r="B67" s="2" t="n"/>
      <c r="C67" s="2" t="n"/>
      <c r="D67" s="2" t="n"/>
      <c r="E67" s="2" t="n"/>
      <c r="F67" s="2">
        <f>IF($D67="","",MID($D67,1,FIND("|",SUBSTITUTE($D67,".","|",3))-1)&amp;".x")</f>
        <v/>
      </c>
      <c r="G67" s="2" t="n"/>
      <c r="H67" s="2" t="n"/>
      <c r="I67" s="2" t="n"/>
      <c r="J67" s="2" t="n"/>
      <c r="K67" s="2" t="n"/>
      <c r="L67" s="2">
        <f>IF($D67="","",TRIM(IF(COUNTIF($D$2:$D$300,$D67)&gt;1,"重复IP ","")&amp;IF(COUNTIF('网关清单'!$B$2:$B$60,$D67)&gt;0,"撞网关 ","")&amp;IF(AND(COUNTIF($D$2:$D$300,$D67)=1,COUNTIF('网关清单'!$B$2:$B$60,$D67)=0),"OK","")))</f>
        <v/>
      </c>
      <c r="M67" s="2" t="n"/>
    </row>
    <row r="68">
      <c r="A68" s="2">
        <f>IF($D68="","",ROW()-1)</f>
        <v/>
      </c>
      <c r="B68" s="2" t="n"/>
      <c r="C68" s="2" t="n"/>
      <c r="D68" s="2" t="n"/>
      <c r="E68" s="2" t="n"/>
      <c r="F68" s="2">
        <f>IF($D68="","",MID($D68,1,FIND("|",SUBSTITUTE($D68,".","|",3))-1)&amp;".x")</f>
        <v/>
      </c>
      <c r="G68" s="2" t="n"/>
      <c r="H68" s="2" t="n"/>
      <c r="I68" s="2" t="n"/>
      <c r="J68" s="2" t="n"/>
      <c r="K68" s="2" t="n"/>
      <c r="L68" s="2">
        <f>IF($D68="","",TRIM(IF(COUNTIF($D$2:$D$300,$D68)&gt;1,"重复IP ","")&amp;IF(COUNTIF('网关清单'!$B$2:$B$60,$D68)&gt;0,"撞网关 ","")&amp;IF(AND(COUNTIF($D$2:$D$300,$D68)=1,COUNTIF('网关清单'!$B$2:$B$60,$D68)=0),"OK","")))</f>
        <v/>
      </c>
      <c r="M68" s="2" t="n"/>
    </row>
    <row r="69">
      <c r="A69" s="2">
        <f>IF($D69="","",ROW()-1)</f>
        <v/>
      </c>
      <c r="B69" s="2" t="n"/>
      <c r="C69" s="2" t="n"/>
      <c r="D69" s="2" t="n"/>
      <c r="E69" s="2" t="n"/>
      <c r="F69" s="2">
        <f>IF($D69="","",MID($D69,1,FIND("|",SUBSTITUTE($D69,".","|",3))-1)&amp;".x")</f>
        <v/>
      </c>
      <c r="G69" s="2" t="n"/>
      <c r="H69" s="2" t="n"/>
      <c r="I69" s="2" t="n"/>
      <c r="J69" s="2" t="n"/>
      <c r="K69" s="2" t="n"/>
      <c r="L69" s="2">
        <f>IF($D69="","",TRIM(IF(COUNTIF($D$2:$D$300,$D69)&gt;1,"重复IP ","")&amp;IF(COUNTIF('网关清单'!$B$2:$B$60,$D69)&gt;0,"撞网关 ","")&amp;IF(AND(COUNTIF($D$2:$D$300,$D69)=1,COUNTIF('网关清单'!$B$2:$B$60,$D69)=0),"OK","")))</f>
        <v/>
      </c>
      <c r="M69" s="2" t="n"/>
    </row>
    <row r="70">
      <c r="A70" s="2">
        <f>IF($D70="","",ROW()-1)</f>
        <v/>
      </c>
      <c r="B70" s="2" t="n"/>
      <c r="C70" s="2" t="n"/>
      <c r="D70" s="2" t="n"/>
      <c r="E70" s="2" t="n"/>
      <c r="F70" s="2">
        <f>IF($D70="","",MID($D70,1,FIND("|",SUBSTITUTE($D70,".","|",3))-1)&amp;".x")</f>
        <v/>
      </c>
      <c r="G70" s="2" t="n"/>
      <c r="H70" s="2" t="n"/>
      <c r="I70" s="2" t="n"/>
      <c r="J70" s="2" t="n"/>
      <c r="K70" s="2" t="n"/>
      <c r="L70" s="2">
        <f>IF($D70="","",TRIM(IF(COUNTIF($D$2:$D$300,$D70)&gt;1,"重复IP ","")&amp;IF(COUNTIF('网关清单'!$B$2:$B$60,$D70)&gt;0,"撞网关 ","")&amp;IF(AND(COUNTIF($D$2:$D$300,$D70)=1,COUNTIF('网关清单'!$B$2:$B$60,$D70)=0),"OK","")))</f>
        <v/>
      </c>
      <c r="M70" s="2" t="n"/>
    </row>
    <row r="71">
      <c r="A71" s="2">
        <f>IF($D71="","",ROW()-1)</f>
        <v/>
      </c>
      <c r="B71" s="2" t="n"/>
      <c r="C71" s="2" t="n"/>
      <c r="D71" s="2" t="n"/>
      <c r="E71" s="2" t="n"/>
      <c r="F71" s="2">
        <f>IF($D71="","",MID($D71,1,FIND("|",SUBSTITUTE($D71,".","|",3))-1)&amp;".x")</f>
        <v/>
      </c>
      <c r="G71" s="2" t="n"/>
      <c r="H71" s="2" t="n"/>
      <c r="I71" s="2" t="n"/>
      <c r="J71" s="2" t="n"/>
      <c r="K71" s="2" t="n"/>
      <c r="L71" s="2">
        <f>IF($D71="","",TRIM(IF(COUNTIF($D$2:$D$300,$D71)&gt;1,"重复IP ","")&amp;IF(COUNTIF('网关清单'!$B$2:$B$60,$D71)&gt;0,"撞网关 ","")&amp;IF(AND(COUNTIF($D$2:$D$300,$D71)=1,COUNTIF('网关清单'!$B$2:$B$60,$D71)=0),"OK","")))</f>
        <v/>
      </c>
      <c r="M71" s="2" t="n"/>
    </row>
    <row r="72">
      <c r="A72" s="2">
        <f>IF($D72="","",ROW()-1)</f>
        <v/>
      </c>
      <c r="B72" s="2" t="n"/>
      <c r="C72" s="2" t="n"/>
      <c r="D72" s="2" t="n"/>
      <c r="E72" s="2" t="n"/>
      <c r="F72" s="2">
        <f>IF($D72="","",MID($D72,1,FIND("|",SUBSTITUTE($D72,".","|",3))-1)&amp;".x")</f>
        <v/>
      </c>
      <c r="G72" s="2" t="n"/>
      <c r="H72" s="2" t="n"/>
      <c r="I72" s="2" t="n"/>
      <c r="J72" s="2" t="n"/>
      <c r="K72" s="2" t="n"/>
      <c r="L72" s="2">
        <f>IF($D72="","",TRIM(IF(COUNTIF($D$2:$D$300,$D72)&gt;1,"重复IP ","")&amp;IF(COUNTIF('网关清单'!$B$2:$B$60,$D72)&gt;0,"撞网关 ","")&amp;IF(AND(COUNTIF($D$2:$D$300,$D72)=1,COUNTIF('网关清单'!$B$2:$B$60,$D72)=0),"OK","")))</f>
        <v/>
      </c>
      <c r="M72" s="2" t="n"/>
    </row>
    <row r="73">
      <c r="A73" s="2">
        <f>IF($D73="","",ROW()-1)</f>
        <v/>
      </c>
      <c r="B73" s="2" t="n"/>
      <c r="C73" s="2" t="n"/>
      <c r="D73" s="2" t="n"/>
      <c r="E73" s="2" t="n"/>
      <c r="F73" s="2">
        <f>IF($D73="","",MID($D73,1,FIND("|",SUBSTITUTE($D73,".","|",3))-1)&amp;".x")</f>
        <v/>
      </c>
      <c r="G73" s="2" t="n"/>
      <c r="H73" s="2" t="n"/>
      <c r="I73" s="2" t="n"/>
      <c r="J73" s="2" t="n"/>
      <c r="K73" s="2" t="n"/>
      <c r="L73" s="2">
        <f>IF($D73="","",TRIM(IF(COUNTIF($D$2:$D$300,$D73)&gt;1,"重复IP ","")&amp;IF(COUNTIF('网关清单'!$B$2:$B$60,$D73)&gt;0,"撞网关 ","")&amp;IF(AND(COUNTIF($D$2:$D$300,$D73)=1,COUNTIF('网关清单'!$B$2:$B$60,$D73)=0),"OK","")))</f>
        <v/>
      </c>
      <c r="M73" s="2" t="n"/>
    </row>
    <row r="74">
      <c r="A74" s="2">
        <f>IF($D74="","",ROW()-1)</f>
        <v/>
      </c>
      <c r="B74" s="2" t="n"/>
      <c r="C74" s="2" t="n"/>
      <c r="D74" s="2" t="n"/>
      <c r="E74" s="2" t="n"/>
      <c r="F74" s="2">
        <f>IF($D74="","",MID($D74,1,FIND("|",SUBSTITUTE($D74,".","|",3))-1)&amp;".x")</f>
        <v/>
      </c>
      <c r="G74" s="2" t="n"/>
      <c r="H74" s="2" t="n"/>
      <c r="I74" s="2" t="n"/>
      <c r="J74" s="2" t="n"/>
      <c r="K74" s="2" t="n"/>
      <c r="L74" s="2">
        <f>IF($D74="","",TRIM(IF(COUNTIF($D$2:$D$300,$D74)&gt;1,"重复IP ","")&amp;IF(COUNTIF('网关清单'!$B$2:$B$60,$D74)&gt;0,"撞网关 ","")&amp;IF(AND(COUNTIF($D$2:$D$300,$D74)=1,COUNTIF('网关清单'!$B$2:$B$60,$D74)=0),"OK","")))</f>
        <v/>
      </c>
      <c r="M74" s="2" t="n"/>
    </row>
    <row r="75">
      <c r="A75" s="2">
        <f>IF($D75="","",ROW()-1)</f>
        <v/>
      </c>
      <c r="B75" s="2" t="n"/>
      <c r="C75" s="2" t="n"/>
      <c r="D75" s="2" t="n"/>
      <c r="E75" s="2" t="n"/>
      <c r="F75" s="2">
        <f>IF($D75="","",MID($D75,1,FIND("|",SUBSTITUTE($D75,".","|",3))-1)&amp;".x")</f>
        <v/>
      </c>
      <c r="G75" s="2" t="n"/>
      <c r="H75" s="2" t="n"/>
      <c r="I75" s="2" t="n"/>
      <c r="J75" s="2" t="n"/>
      <c r="K75" s="2" t="n"/>
      <c r="L75" s="2">
        <f>IF($D75="","",TRIM(IF(COUNTIF($D$2:$D$300,$D75)&gt;1,"重复IP ","")&amp;IF(COUNTIF('网关清单'!$B$2:$B$60,$D75)&gt;0,"撞网关 ","")&amp;IF(AND(COUNTIF($D$2:$D$300,$D75)=1,COUNTIF('网关清单'!$B$2:$B$60,$D75)=0),"OK","")))</f>
        <v/>
      </c>
      <c r="M75" s="2" t="n"/>
    </row>
    <row r="76">
      <c r="A76" s="2">
        <f>IF($D76="","",ROW()-1)</f>
        <v/>
      </c>
      <c r="B76" s="2" t="n"/>
      <c r="C76" s="2" t="n"/>
      <c r="D76" s="2" t="n"/>
      <c r="E76" s="2" t="n"/>
      <c r="F76" s="2">
        <f>IF($D76="","",MID($D76,1,FIND("|",SUBSTITUTE($D76,".","|",3))-1)&amp;".x")</f>
        <v/>
      </c>
      <c r="G76" s="2" t="n"/>
      <c r="H76" s="2" t="n"/>
      <c r="I76" s="2" t="n"/>
      <c r="J76" s="2" t="n"/>
      <c r="K76" s="2" t="n"/>
      <c r="L76" s="2">
        <f>IF($D76="","",TRIM(IF(COUNTIF($D$2:$D$300,$D76)&gt;1,"重复IP ","")&amp;IF(COUNTIF('网关清单'!$B$2:$B$60,$D76)&gt;0,"撞网关 ","")&amp;IF(AND(COUNTIF($D$2:$D$300,$D76)=1,COUNTIF('网关清单'!$B$2:$B$60,$D76)=0),"OK","")))</f>
        <v/>
      </c>
      <c r="M76" s="2" t="n"/>
    </row>
    <row r="77">
      <c r="A77" s="2">
        <f>IF($D77="","",ROW()-1)</f>
        <v/>
      </c>
      <c r="B77" s="2" t="n"/>
      <c r="C77" s="2" t="n"/>
      <c r="D77" s="2" t="n"/>
      <c r="E77" s="2" t="n"/>
      <c r="F77" s="2">
        <f>IF($D77="","",MID($D77,1,FIND("|",SUBSTITUTE($D77,".","|",3))-1)&amp;".x")</f>
        <v/>
      </c>
      <c r="G77" s="2" t="n"/>
      <c r="H77" s="2" t="n"/>
      <c r="I77" s="2" t="n"/>
      <c r="J77" s="2" t="n"/>
      <c r="K77" s="2" t="n"/>
      <c r="L77" s="2">
        <f>IF($D77="","",TRIM(IF(COUNTIF($D$2:$D$300,$D77)&gt;1,"重复IP ","")&amp;IF(COUNTIF('网关清单'!$B$2:$B$60,$D77)&gt;0,"撞网关 ","")&amp;IF(AND(COUNTIF($D$2:$D$300,$D77)=1,COUNTIF('网关清单'!$B$2:$B$60,$D77)=0),"OK","")))</f>
        <v/>
      </c>
      <c r="M77" s="2" t="n"/>
    </row>
    <row r="78">
      <c r="A78" s="2">
        <f>IF($D78="","",ROW()-1)</f>
        <v/>
      </c>
      <c r="B78" s="2" t="n"/>
      <c r="C78" s="2" t="n"/>
      <c r="D78" s="2" t="n"/>
      <c r="E78" s="2" t="n"/>
      <c r="F78" s="2">
        <f>IF($D78="","",MID($D78,1,FIND("|",SUBSTITUTE($D78,".","|",3))-1)&amp;".x")</f>
        <v/>
      </c>
      <c r="G78" s="2" t="n"/>
      <c r="H78" s="2" t="n"/>
      <c r="I78" s="2" t="n"/>
      <c r="J78" s="2" t="n"/>
      <c r="K78" s="2" t="n"/>
      <c r="L78" s="2">
        <f>IF($D78="","",TRIM(IF(COUNTIF($D$2:$D$300,$D78)&gt;1,"重复IP ","")&amp;IF(COUNTIF('网关清单'!$B$2:$B$60,$D78)&gt;0,"撞网关 ","")&amp;IF(AND(COUNTIF($D$2:$D$300,$D78)=1,COUNTIF('网关清单'!$B$2:$B$60,$D78)=0),"OK","")))</f>
        <v/>
      </c>
      <c r="M78" s="2" t="n"/>
    </row>
    <row r="79">
      <c r="A79" s="2">
        <f>IF($D79="","",ROW()-1)</f>
        <v/>
      </c>
      <c r="B79" s="2" t="n"/>
      <c r="C79" s="2" t="n"/>
      <c r="D79" s="2" t="n"/>
      <c r="E79" s="2" t="n"/>
      <c r="F79" s="2">
        <f>IF($D79="","",MID($D79,1,FIND("|",SUBSTITUTE($D79,".","|",3))-1)&amp;".x")</f>
        <v/>
      </c>
      <c r="G79" s="2" t="n"/>
      <c r="H79" s="2" t="n"/>
      <c r="I79" s="2" t="n"/>
      <c r="J79" s="2" t="n"/>
      <c r="K79" s="2" t="n"/>
      <c r="L79" s="2">
        <f>IF($D79="","",TRIM(IF(COUNTIF($D$2:$D$300,$D79)&gt;1,"重复IP ","")&amp;IF(COUNTIF('网关清单'!$B$2:$B$60,$D79)&gt;0,"撞网关 ","")&amp;IF(AND(COUNTIF($D$2:$D$300,$D79)=1,COUNTIF('网关清单'!$B$2:$B$60,$D79)=0),"OK","")))</f>
        <v/>
      </c>
      <c r="M79" s="2" t="n"/>
    </row>
    <row r="80">
      <c r="A80" s="2">
        <f>IF($D80="","",ROW()-1)</f>
        <v/>
      </c>
      <c r="B80" s="2" t="n"/>
      <c r="C80" s="2" t="n"/>
      <c r="D80" s="2" t="n"/>
      <c r="E80" s="2" t="n"/>
      <c r="F80" s="2">
        <f>IF($D80="","",MID($D80,1,FIND("|",SUBSTITUTE($D80,".","|",3))-1)&amp;".x")</f>
        <v/>
      </c>
      <c r="G80" s="2" t="n"/>
      <c r="H80" s="2" t="n"/>
      <c r="I80" s="2" t="n"/>
      <c r="J80" s="2" t="n"/>
      <c r="K80" s="2" t="n"/>
      <c r="L80" s="2">
        <f>IF($D80="","",TRIM(IF(COUNTIF($D$2:$D$300,$D80)&gt;1,"重复IP ","")&amp;IF(COUNTIF('网关清单'!$B$2:$B$60,$D80)&gt;0,"撞网关 ","")&amp;IF(AND(COUNTIF($D$2:$D$300,$D80)=1,COUNTIF('网关清单'!$B$2:$B$60,$D80)=0),"OK","")))</f>
        <v/>
      </c>
      <c r="M80" s="2" t="n"/>
    </row>
    <row r="81">
      <c r="A81" s="2">
        <f>IF($D81="","",ROW()-1)</f>
        <v/>
      </c>
      <c r="B81" s="2" t="n"/>
      <c r="C81" s="2" t="n"/>
      <c r="D81" s="2" t="n"/>
      <c r="E81" s="2" t="n"/>
      <c r="F81" s="2">
        <f>IF($D81="","",MID($D81,1,FIND("|",SUBSTITUTE($D81,".","|",3))-1)&amp;".x")</f>
        <v/>
      </c>
      <c r="G81" s="2" t="n"/>
      <c r="H81" s="2" t="n"/>
      <c r="I81" s="2" t="n"/>
      <c r="J81" s="2" t="n"/>
      <c r="K81" s="2" t="n"/>
      <c r="L81" s="2">
        <f>IF($D81="","",TRIM(IF(COUNTIF($D$2:$D$300,$D81)&gt;1,"重复IP ","")&amp;IF(COUNTIF('网关清单'!$B$2:$B$60,$D81)&gt;0,"撞网关 ","")&amp;IF(AND(COUNTIF($D$2:$D$300,$D81)=1,COUNTIF('网关清单'!$B$2:$B$60,$D81)=0),"OK","")))</f>
        <v/>
      </c>
      <c r="M81" s="2" t="n"/>
    </row>
    <row r="82">
      <c r="A82" s="2">
        <f>IF($D82="","",ROW()-1)</f>
        <v/>
      </c>
      <c r="B82" s="2" t="n"/>
      <c r="C82" s="2" t="n"/>
      <c r="D82" s="2" t="n"/>
      <c r="E82" s="2" t="n"/>
      <c r="F82" s="2">
        <f>IF($D82="","",MID($D82,1,FIND("|",SUBSTITUTE($D82,".","|",3))-1)&amp;".x")</f>
        <v/>
      </c>
      <c r="G82" s="2" t="n"/>
      <c r="H82" s="2" t="n"/>
      <c r="I82" s="2" t="n"/>
      <c r="J82" s="2" t="n"/>
      <c r="K82" s="2" t="n"/>
      <c r="L82" s="2">
        <f>IF($D82="","",TRIM(IF(COUNTIF($D$2:$D$300,$D82)&gt;1,"重复IP ","")&amp;IF(COUNTIF('网关清单'!$B$2:$B$60,$D82)&gt;0,"撞网关 ","")&amp;IF(AND(COUNTIF($D$2:$D$300,$D82)=1,COUNTIF('网关清单'!$B$2:$B$60,$D82)=0),"OK","")))</f>
        <v/>
      </c>
      <c r="M82" s="2" t="n"/>
    </row>
    <row r="83">
      <c r="A83" s="2">
        <f>IF($D83="","",ROW()-1)</f>
        <v/>
      </c>
      <c r="B83" s="2" t="n"/>
      <c r="C83" s="2" t="n"/>
      <c r="D83" s="2" t="n"/>
      <c r="E83" s="2" t="n"/>
      <c r="F83" s="2">
        <f>IF($D83="","",MID($D83,1,FIND("|",SUBSTITUTE($D83,".","|",3))-1)&amp;".x")</f>
        <v/>
      </c>
      <c r="G83" s="2" t="n"/>
      <c r="H83" s="2" t="n"/>
      <c r="I83" s="2" t="n"/>
      <c r="J83" s="2" t="n"/>
      <c r="K83" s="2" t="n"/>
      <c r="L83" s="2">
        <f>IF($D83="","",TRIM(IF(COUNTIF($D$2:$D$300,$D83)&gt;1,"重复IP ","")&amp;IF(COUNTIF('网关清单'!$B$2:$B$60,$D83)&gt;0,"撞网关 ","")&amp;IF(AND(COUNTIF($D$2:$D$300,$D83)=1,COUNTIF('网关清单'!$B$2:$B$60,$D83)=0),"OK","")))</f>
        <v/>
      </c>
      <c r="M83" s="2" t="n"/>
    </row>
    <row r="84">
      <c r="A84" s="2">
        <f>IF($D84="","",ROW()-1)</f>
        <v/>
      </c>
      <c r="B84" s="2" t="n"/>
      <c r="C84" s="2" t="n"/>
      <c r="D84" s="2" t="n"/>
      <c r="E84" s="2" t="n"/>
      <c r="F84" s="2">
        <f>IF($D84="","",MID($D84,1,FIND("|",SUBSTITUTE($D84,".","|",3))-1)&amp;".x")</f>
        <v/>
      </c>
      <c r="G84" s="2" t="n"/>
      <c r="H84" s="2" t="n"/>
      <c r="I84" s="2" t="n"/>
      <c r="J84" s="2" t="n"/>
      <c r="K84" s="2" t="n"/>
      <c r="L84" s="2">
        <f>IF($D84="","",TRIM(IF(COUNTIF($D$2:$D$300,$D84)&gt;1,"重复IP ","")&amp;IF(COUNTIF('网关清单'!$B$2:$B$60,$D84)&gt;0,"撞网关 ","")&amp;IF(AND(COUNTIF($D$2:$D$300,$D84)=1,COUNTIF('网关清单'!$B$2:$B$60,$D84)=0),"OK","")))</f>
        <v/>
      </c>
      <c r="M84" s="2" t="n"/>
    </row>
    <row r="85">
      <c r="A85" s="2">
        <f>IF($D85="","",ROW()-1)</f>
        <v/>
      </c>
      <c r="B85" s="2" t="n"/>
      <c r="C85" s="2" t="n"/>
      <c r="D85" s="2" t="n"/>
      <c r="E85" s="2" t="n"/>
      <c r="F85" s="2">
        <f>IF($D85="","",MID($D85,1,FIND("|",SUBSTITUTE($D85,".","|",3))-1)&amp;".x")</f>
        <v/>
      </c>
      <c r="G85" s="2" t="n"/>
      <c r="H85" s="2" t="n"/>
      <c r="I85" s="2" t="n"/>
      <c r="J85" s="2" t="n"/>
      <c r="K85" s="2" t="n"/>
      <c r="L85" s="2">
        <f>IF($D85="","",TRIM(IF(COUNTIF($D$2:$D$300,$D85)&gt;1,"重复IP ","")&amp;IF(COUNTIF('网关清单'!$B$2:$B$60,$D85)&gt;0,"撞网关 ","")&amp;IF(AND(COUNTIF($D$2:$D$300,$D85)=1,COUNTIF('网关清单'!$B$2:$B$60,$D85)=0),"OK","")))</f>
        <v/>
      </c>
      <c r="M85" s="2" t="n"/>
    </row>
    <row r="86">
      <c r="A86" s="2">
        <f>IF($D86="","",ROW()-1)</f>
        <v/>
      </c>
      <c r="B86" s="2" t="n"/>
      <c r="C86" s="2" t="n"/>
      <c r="D86" s="2" t="n"/>
      <c r="E86" s="2" t="n"/>
      <c r="F86" s="2">
        <f>IF($D86="","",MID($D86,1,FIND("|",SUBSTITUTE($D86,".","|",3))-1)&amp;".x")</f>
        <v/>
      </c>
      <c r="G86" s="2" t="n"/>
      <c r="H86" s="2" t="n"/>
      <c r="I86" s="2" t="n"/>
      <c r="J86" s="2" t="n"/>
      <c r="K86" s="2" t="n"/>
      <c r="L86" s="2">
        <f>IF($D86="","",TRIM(IF(COUNTIF($D$2:$D$300,$D86)&gt;1,"重复IP ","")&amp;IF(COUNTIF('网关清单'!$B$2:$B$60,$D86)&gt;0,"撞网关 ","")&amp;IF(AND(COUNTIF($D$2:$D$300,$D86)=1,COUNTIF('网关清单'!$B$2:$B$60,$D86)=0),"OK","")))</f>
        <v/>
      </c>
      <c r="M86" s="2" t="n"/>
    </row>
    <row r="87">
      <c r="A87" s="2">
        <f>IF($D87="","",ROW()-1)</f>
        <v/>
      </c>
      <c r="B87" s="2" t="n"/>
      <c r="C87" s="2" t="n"/>
      <c r="D87" s="2" t="n"/>
      <c r="E87" s="2" t="n"/>
      <c r="F87" s="2">
        <f>IF($D87="","",MID($D87,1,FIND("|",SUBSTITUTE($D87,".","|",3))-1)&amp;".x")</f>
        <v/>
      </c>
      <c r="G87" s="2" t="n"/>
      <c r="H87" s="2" t="n"/>
      <c r="I87" s="2" t="n"/>
      <c r="J87" s="2" t="n"/>
      <c r="K87" s="2" t="n"/>
      <c r="L87" s="2">
        <f>IF($D87="","",TRIM(IF(COUNTIF($D$2:$D$300,$D87)&gt;1,"重复IP ","")&amp;IF(COUNTIF('网关清单'!$B$2:$B$60,$D87)&gt;0,"撞网关 ","")&amp;IF(AND(COUNTIF($D$2:$D$300,$D87)=1,COUNTIF('网关清单'!$B$2:$B$60,$D87)=0),"OK","")))</f>
        <v/>
      </c>
      <c r="M87" s="2" t="n"/>
    </row>
    <row r="88">
      <c r="A88" s="2">
        <f>IF($D88="","",ROW()-1)</f>
        <v/>
      </c>
      <c r="B88" s="2" t="n"/>
      <c r="C88" s="2" t="n"/>
      <c r="D88" s="2" t="n"/>
      <c r="E88" s="2" t="n"/>
      <c r="F88" s="2">
        <f>IF($D88="","",MID($D88,1,FIND("|",SUBSTITUTE($D88,".","|",3))-1)&amp;".x")</f>
        <v/>
      </c>
      <c r="G88" s="2" t="n"/>
      <c r="H88" s="2" t="n"/>
      <c r="I88" s="2" t="n"/>
      <c r="J88" s="2" t="n"/>
      <c r="K88" s="2" t="n"/>
      <c r="L88" s="2">
        <f>IF($D88="","",TRIM(IF(COUNTIF($D$2:$D$300,$D88)&gt;1,"重复IP ","")&amp;IF(COUNTIF('网关清单'!$B$2:$B$60,$D88)&gt;0,"撞网关 ","")&amp;IF(AND(COUNTIF($D$2:$D$300,$D88)=1,COUNTIF('网关清单'!$B$2:$B$60,$D88)=0),"OK","")))</f>
        <v/>
      </c>
      <c r="M88" s="2" t="n"/>
    </row>
    <row r="89">
      <c r="A89" s="2">
        <f>IF($D89="","",ROW()-1)</f>
        <v/>
      </c>
      <c r="B89" s="2" t="n"/>
      <c r="C89" s="2" t="n"/>
      <c r="D89" s="2" t="n"/>
      <c r="E89" s="2" t="n"/>
      <c r="F89" s="2">
        <f>IF($D89="","",MID($D89,1,FIND("|",SUBSTITUTE($D89,".","|",3))-1)&amp;".x")</f>
        <v/>
      </c>
      <c r="G89" s="2" t="n"/>
      <c r="H89" s="2" t="n"/>
      <c r="I89" s="2" t="n"/>
      <c r="J89" s="2" t="n"/>
      <c r="K89" s="2" t="n"/>
      <c r="L89" s="2">
        <f>IF($D89="","",TRIM(IF(COUNTIF($D$2:$D$300,$D89)&gt;1,"重复IP ","")&amp;IF(COUNTIF('网关清单'!$B$2:$B$60,$D89)&gt;0,"撞网关 ","")&amp;IF(AND(COUNTIF($D$2:$D$300,$D89)=1,COUNTIF('网关清单'!$B$2:$B$60,$D89)=0),"OK","")))</f>
        <v/>
      </c>
      <c r="M89" s="2" t="n"/>
    </row>
    <row r="90">
      <c r="A90" s="2">
        <f>IF($D90="","",ROW()-1)</f>
        <v/>
      </c>
      <c r="B90" s="2" t="n"/>
      <c r="C90" s="2" t="n"/>
      <c r="D90" s="2" t="n"/>
      <c r="E90" s="2" t="n"/>
      <c r="F90" s="2">
        <f>IF($D90="","",MID($D90,1,FIND("|",SUBSTITUTE($D90,".","|",3))-1)&amp;".x")</f>
        <v/>
      </c>
      <c r="G90" s="2" t="n"/>
      <c r="H90" s="2" t="n"/>
      <c r="I90" s="2" t="n"/>
      <c r="J90" s="2" t="n"/>
      <c r="K90" s="2" t="n"/>
      <c r="L90" s="2">
        <f>IF($D90="","",TRIM(IF(COUNTIF($D$2:$D$300,$D90)&gt;1,"重复IP ","")&amp;IF(COUNTIF('网关清单'!$B$2:$B$60,$D90)&gt;0,"撞网关 ","")&amp;IF(AND(COUNTIF($D$2:$D$300,$D90)=1,COUNTIF('网关清单'!$B$2:$B$60,$D90)=0),"OK","")))</f>
        <v/>
      </c>
      <c r="M90" s="2" t="n"/>
    </row>
    <row r="91">
      <c r="A91" s="2">
        <f>IF($D91="","",ROW()-1)</f>
        <v/>
      </c>
      <c r="B91" s="2" t="n"/>
      <c r="C91" s="2" t="n"/>
      <c r="D91" s="2" t="n"/>
      <c r="E91" s="2" t="n"/>
      <c r="F91" s="2">
        <f>IF($D91="","",MID($D91,1,FIND("|",SUBSTITUTE($D91,".","|",3))-1)&amp;".x")</f>
        <v/>
      </c>
      <c r="G91" s="2" t="n"/>
      <c r="H91" s="2" t="n"/>
      <c r="I91" s="2" t="n"/>
      <c r="J91" s="2" t="n"/>
      <c r="K91" s="2" t="n"/>
      <c r="L91" s="2">
        <f>IF($D91="","",TRIM(IF(COUNTIF($D$2:$D$300,$D91)&gt;1,"重复IP ","")&amp;IF(COUNTIF('网关清单'!$B$2:$B$60,$D91)&gt;0,"撞网关 ","")&amp;IF(AND(COUNTIF($D$2:$D$300,$D91)=1,COUNTIF('网关清单'!$B$2:$B$60,$D91)=0),"OK","")))</f>
        <v/>
      </c>
      <c r="M91" s="2" t="n"/>
    </row>
    <row r="92">
      <c r="A92" s="2">
        <f>IF($D92="","",ROW()-1)</f>
        <v/>
      </c>
      <c r="B92" s="2" t="n"/>
      <c r="C92" s="2" t="n"/>
      <c r="D92" s="2" t="n"/>
      <c r="E92" s="2" t="n"/>
      <c r="F92" s="2">
        <f>IF($D92="","",MID($D92,1,FIND("|",SUBSTITUTE($D92,".","|",3))-1)&amp;".x")</f>
        <v/>
      </c>
      <c r="G92" s="2" t="n"/>
      <c r="H92" s="2" t="n"/>
      <c r="I92" s="2" t="n"/>
      <c r="J92" s="2" t="n"/>
      <c r="K92" s="2" t="n"/>
      <c r="L92" s="2">
        <f>IF($D92="","",TRIM(IF(COUNTIF($D$2:$D$300,$D92)&gt;1,"重复IP ","")&amp;IF(COUNTIF('网关清单'!$B$2:$B$60,$D92)&gt;0,"撞网关 ","")&amp;IF(AND(COUNTIF($D$2:$D$300,$D92)=1,COUNTIF('网关清单'!$B$2:$B$60,$D92)=0),"OK","")))</f>
        <v/>
      </c>
      <c r="M92" s="2" t="n"/>
    </row>
    <row r="93">
      <c r="A93" s="2">
        <f>IF($D93="","",ROW()-1)</f>
        <v/>
      </c>
      <c r="B93" s="2" t="n"/>
      <c r="C93" s="2" t="n"/>
      <c r="D93" s="2" t="n"/>
      <c r="E93" s="2" t="n"/>
      <c r="F93" s="2">
        <f>IF($D93="","",MID($D93,1,FIND("|",SUBSTITUTE($D93,".","|",3))-1)&amp;".x")</f>
        <v/>
      </c>
      <c r="G93" s="2" t="n"/>
      <c r="H93" s="2" t="n"/>
      <c r="I93" s="2" t="n"/>
      <c r="J93" s="2" t="n"/>
      <c r="K93" s="2" t="n"/>
      <c r="L93" s="2">
        <f>IF($D93="","",TRIM(IF(COUNTIF($D$2:$D$300,$D93)&gt;1,"重复IP ","")&amp;IF(COUNTIF('网关清单'!$B$2:$B$60,$D93)&gt;0,"撞网关 ","")&amp;IF(AND(COUNTIF($D$2:$D$300,$D93)=1,COUNTIF('网关清单'!$B$2:$B$60,$D93)=0),"OK","")))</f>
        <v/>
      </c>
      <c r="M93" s="2" t="n"/>
    </row>
    <row r="94">
      <c r="A94" s="2">
        <f>IF($D94="","",ROW()-1)</f>
        <v/>
      </c>
      <c r="B94" s="2" t="n"/>
      <c r="C94" s="2" t="n"/>
      <c r="D94" s="2" t="n"/>
      <c r="E94" s="2" t="n"/>
      <c r="F94" s="2">
        <f>IF($D94="","",MID($D94,1,FIND("|",SUBSTITUTE($D94,".","|",3))-1)&amp;".x")</f>
        <v/>
      </c>
      <c r="G94" s="2" t="n"/>
      <c r="H94" s="2" t="n"/>
      <c r="I94" s="2" t="n"/>
      <c r="J94" s="2" t="n"/>
      <c r="K94" s="2" t="n"/>
      <c r="L94" s="2">
        <f>IF($D94="","",TRIM(IF(COUNTIF($D$2:$D$300,$D94)&gt;1,"重复IP ","")&amp;IF(COUNTIF('网关清单'!$B$2:$B$60,$D94)&gt;0,"撞网关 ","")&amp;IF(AND(COUNTIF($D$2:$D$300,$D94)=1,COUNTIF('网关清单'!$B$2:$B$60,$D94)=0),"OK","")))</f>
        <v/>
      </c>
      <c r="M94" s="2" t="n"/>
    </row>
    <row r="95">
      <c r="A95" s="2">
        <f>IF($D95="","",ROW()-1)</f>
        <v/>
      </c>
      <c r="B95" s="2" t="n"/>
      <c r="C95" s="2" t="n"/>
      <c r="D95" s="2" t="n"/>
      <c r="E95" s="2" t="n"/>
      <c r="F95" s="2">
        <f>IF($D95="","",MID($D95,1,FIND("|",SUBSTITUTE($D95,".","|",3))-1)&amp;".x")</f>
        <v/>
      </c>
      <c r="G95" s="2" t="n"/>
      <c r="H95" s="2" t="n"/>
      <c r="I95" s="2" t="n"/>
      <c r="J95" s="2" t="n"/>
      <c r="K95" s="2" t="n"/>
      <c r="L95" s="2">
        <f>IF($D95="","",TRIM(IF(COUNTIF($D$2:$D$300,$D95)&gt;1,"重复IP ","")&amp;IF(COUNTIF('网关清单'!$B$2:$B$60,$D95)&gt;0,"撞网关 ","")&amp;IF(AND(COUNTIF($D$2:$D$300,$D95)=1,COUNTIF('网关清单'!$B$2:$B$60,$D95)=0),"OK","")))</f>
        <v/>
      </c>
      <c r="M95" s="2" t="n"/>
    </row>
    <row r="96">
      <c r="A96" s="2">
        <f>IF($D96="","",ROW()-1)</f>
        <v/>
      </c>
      <c r="B96" s="2" t="n"/>
      <c r="C96" s="2" t="n"/>
      <c r="D96" s="2" t="n"/>
      <c r="E96" s="2" t="n"/>
      <c r="F96" s="2">
        <f>IF($D96="","",MID($D96,1,FIND("|",SUBSTITUTE($D96,".","|",3))-1)&amp;".x")</f>
        <v/>
      </c>
      <c r="G96" s="2" t="n"/>
      <c r="H96" s="2" t="n"/>
      <c r="I96" s="2" t="n"/>
      <c r="J96" s="2" t="n"/>
      <c r="K96" s="2" t="n"/>
      <c r="L96" s="2">
        <f>IF($D96="","",TRIM(IF(COUNTIF($D$2:$D$300,$D96)&gt;1,"重复IP ","")&amp;IF(COUNTIF('网关清单'!$B$2:$B$60,$D96)&gt;0,"撞网关 ","")&amp;IF(AND(COUNTIF($D$2:$D$300,$D96)=1,COUNTIF('网关清单'!$B$2:$B$60,$D96)=0),"OK","")))</f>
        <v/>
      </c>
      <c r="M96" s="2" t="n"/>
    </row>
    <row r="97">
      <c r="A97" s="2">
        <f>IF($D97="","",ROW()-1)</f>
        <v/>
      </c>
      <c r="B97" s="2" t="n"/>
      <c r="C97" s="2" t="n"/>
      <c r="D97" s="2" t="n"/>
      <c r="E97" s="2" t="n"/>
      <c r="F97" s="2">
        <f>IF($D97="","",MID($D97,1,FIND("|",SUBSTITUTE($D97,".","|",3))-1)&amp;".x")</f>
        <v/>
      </c>
      <c r="G97" s="2" t="n"/>
      <c r="H97" s="2" t="n"/>
      <c r="I97" s="2" t="n"/>
      <c r="J97" s="2" t="n"/>
      <c r="K97" s="2" t="n"/>
      <c r="L97" s="2">
        <f>IF($D97="","",TRIM(IF(COUNTIF($D$2:$D$300,$D97)&gt;1,"重复IP ","")&amp;IF(COUNTIF('网关清单'!$B$2:$B$60,$D97)&gt;0,"撞网关 ","")&amp;IF(AND(COUNTIF($D$2:$D$300,$D97)=1,COUNTIF('网关清单'!$B$2:$B$60,$D97)=0),"OK","")))</f>
        <v/>
      </c>
      <c r="M97" s="2" t="n"/>
    </row>
    <row r="98">
      <c r="A98" s="2">
        <f>IF($D98="","",ROW()-1)</f>
        <v/>
      </c>
      <c r="B98" s="2" t="n"/>
      <c r="C98" s="2" t="n"/>
      <c r="D98" s="2" t="n"/>
      <c r="E98" s="2" t="n"/>
      <c r="F98" s="2">
        <f>IF($D98="","",MID($D98,1,FIND("|",SUBSTITUTE($D98,".","|",3))-1)&amp;".x")</f>
        <v/>
      </c>
      <c r="G98" s="2" t="n"/>
      <c r="H98" s="2" t="n"/>
      <c r="I98" s="2" t="n"/>
      <c r="J98" s="2" t="n"/>
      <c r="K98" s="2" t="n"/>
      <c r="L98" s="2">
        <f>IF($D98="","",TRIM(IF(COUNTIF($D$2:$D$300,$D98)&gt;1,"重复IP ","")&amp;IF(COUNTIF('网关清单'!$B$2:$B$60,$D98)&gt;0,"撞网关 ","")&amp;IF(AND(COUNTIF($D$2:$D$300,$D98)=1,COUNTIF('网关清单'!$B$2:$B$60,$D98)=0),"OK","")))</f>
        <v/>
      </c>
      <c r="M98" s="2" t="n"/>
    </row>
    <row r="99">
      <c r="A99" s="2">
        <f>IF($D99="","",ROW()-1)</f>
        <v/>
      </c>
      <c r="B99" s="2" t="n"/>
      <c r="C99" s="2" t="n"/>
      <c r="D99" s="2" t="n"/>
      <c r="E99" s="2" t="n"/>
      <c r="F99" s="2">
        <f>IF($D99="","",MID($D99,1,FIND("|",SUBSTITUTE($D99,".","|",3))-1)&amp;".x")</f>
        <v/>
      </c>
      <c r="G99" s="2" t="n"/>
      <c r="H99" s="2" t="n"/>
      <c r="I99" s="2" t="n"/>
      <c r="J99" s="2" t="n"/>
      <c r="K99" s="2" t="n"/>
      <c r="L99" s="2">
        <f>IF($D99="","",TRIM(IF(COUNTIF($D$2:$D$300,$D99)&gt;1,"重复IP ","")&amp;IF(COUNTIF('网关清单'!$B$2:$B$60,$D99)&gt;0,"撞网关 ","")&amp;IF(AND(COUNTIF($D$2:$D$300,$D99)=1,COUNTIF('网关清单'!$B$2:$B$60,$D99)=0),"OK","")))</f>
        <v/>
      </c>
      <c r="M99" s="2" t="n"/>
    </row>
    <row r="100">
      <c r="A100" s="2">
        <f>IF($D100="","",ROW()-1)</f>
        <v/>
      </c>
      <c r="B100" s="2" t="n"/>
      <c r="C100" s="2" t="n"/>
      <c r="D100" s="2" t="n"/>
      <c r="E100" s="2" t="n"/>
      <c r="F100" s="2">
        <f>IF($D100="","",MID($D100,1,FIND("|",SUBSTITUTE($D100,".","|",3))-1)&amp;".x")</f>
        <v/>
      </c>
      <c r="G100" s="2" t="n"/>
      <c r="H100" s="2" t="n"/>
      <c r="I100" s="2" t="n"/>
      <c r="J100" s="2" t="n"/>
      <c r="K100" s="2" t="n"/>
      <c r="L100" s="2">
        <f>IF($D100="","",TRIM(IF(COUNTIF($D$2:$D$300,$D100)&gt;1,"重复IP ","")&amp;IF(COUNTIF('网关清单'!$B$2:$B$60,$D100)&gt;0,"撞网关 ","")&amp;IF(AND(COUNTIF($D$2:$D$300,$D100)=1,COUNTIF('网关清单'!$B$2:$B$60,$D100)=0),"OK","")))</f>
        <v/>
      </c>
      <c r="M100" s="2" t="n"/>
    </row>
    <row r="101">
      <c r="A101" s="2">
        <f>IF($D101="","",ROW()-1)</f>
        <v/>
      </c>
      <c r="B101" s="2" t="n"/>
      <c r="C101" s="2" t="n"/>
      <c r="D101" s="2" t="n"/>
      <c r="E101" s="2" t="n"/>
      <c r="F101" s="2">
        <f>IF($D101="","",MID($D101,1,FIND("|",SUBSTITUTE($D101,".","|",3))-1)&amp;".x")</f>
        <v/>
      </c>
      <c r="G101" s="2" t="n"/>
      <c r="H101" s="2" t="n"/>
      <c r="I101" s="2" t="n"/>
      <c r="J101" s="2" t="n"/>
      <c r="K101" s="2" t="n"/>
      <c r="L101" s="2">
        <f>IF($D101="","",TRIM(IF(COUNTIF($D$2:$D$300,$D101)&gt;1,"重复IP ","")&amp;IF(COUNTIF('网关清单'!$B$2:$B$60,$D101)&gt;0,"撞网关 ","")&amp;IF(AND(COUNTIF($D$2:$D$300,$D101)=1,COUNTIF('网关清单'!$B$2:$B$60,$D101)=0),"OK","")))</f>
        <v/>
      </c>
      <c r="M101" s="2" t="n"/>
    </row>
    <row r="102">
      <c r="A102" s="2">
        <f>IF($D102="","",ROW()-1)</f>
        <v/>
      </c>
      <c r="B102" s="2" t="n"/>
      <c r="C102" s="2" t="n"/>
      <c r="D102" s="2" t="n"/>
      <c r="E102" s="2" t="n"/>
      <c r="F102" s="2">
        <f>IF($D102="","",MID($D102,1,FIND("|",SUBSTITUTE($D102,".","|",3))-1)&amp;".x")</f>
        <v/>
      </c>
      <c r="G102" s="2" t="n"/>
      <c r="H102" s="2" t="n"/>
      <c r="I102" s="2" t="n"/>
      <c r="J102" s="2" t="n"/>
      <c r="K102" s="2" t="n"/>
      <c r="L102" s="2">
        <f>IF($D102="","",TRIM(IF(COUNTIF($D$2:$D$300,$D102)&gt;1,"重复IP ","")&amp;IF(COUNTIF('网关清单'!$B$2:$B$60,$D102)&gt;0,"撞网关 ","")&amp;IF(AND(COUNTIF($D$2:$D$300,$D102)=1,COUNTIF('网关清单'!$B$2:$B$60,$D102)=0),"OK","")))</f>
        <v/>
      </c>
      <c r="M102" s="2" t="n"/>
    </row>
    <row r="103">
      <c r="A103" s="2">
        <f>IF($D103="","",ROW()-1)</f>
        <v/>
      </c>
      <c r="B103" s="2" t="n"/>
      <c r="C103" s="2" t="n"/>
      <c r="D103" s="2" t="n"/>
      <c r="E103" s="2" t="n"/>
      <c r="F103" s="2">
        <f>IF($D103="","",MID($D103,1,FIND("|",SUBSTITUTE($D103,".","|",3))-1)&amp;".x")</f>
        <v/>
      </c>
      <c r="G103" s="2" t="n"/>
      <c r="H103" s="2" t="n"/>
      <c r="I103" s="2" t="n"/>
      <c r="J103" s="2" t="n"/>
      <c r="K103" s="2" t="n"/>
      <c r="L103" s="2">
        <f>IF($D103="","",TRIM(IF(COUNTIF($D$2:$D$300,$D103)&gt;1,"重复IP ","")&amp;IF(COUNTIF('网关清单'!$B$2:$B$60,$D103)&gt;0,"撞网关 ","")&amp;IF(AND(COUNTIF($D$2:$D$300,$D103)=1,COUNTIF('网关清单'!$B$2:$B$60,$D103)=0),"OK","")))</f>
        <v/>
      </c>
      <c r="M103" s="2" t="n"/>
    </row>
    <row r="104">
      <c r="A104" s="2">
        <f>IF($D104="","",ROW()-1)</f>
        <v/>
      </c>
      <c r="B104" s="2" t="n"/>
      <c r="C104" s="2" t="n"/>
      <c r="D104" s="2" t="n"/>
      <c r="E104" s="2" t="n"/>
      <c r="F104" s="2">
        <f>IF($D104="","",MID($D104,1,FIND("|",SUBSTITUTE($D104,".","|",3))-1)&amp;".x")</f>
        <v/>
      </c>
      <c r="G104" s="2" t="n"/>
      <c r="H104" s="2" t="n"/>
      <c r="I104" s="2" t="n"/>
      <c r="J104" s="2" t="n"/>
      <c r="K104" s="2" t="n"/>
      <c r="L104" s="2">
        <f>IF($D104="","",TRIM(IF(COUNTIF($D$2:$D$300,$D104)&gt;1,"重复IP ","")&amp;IF(COUNTIF('网关清单'!$B$2:$B$60,$D104)&gt;0,"撞网关 ","")&amp;IF(AND(COUNTIF($D$2:$D$300,$D104)=1,COUNTIF('网关清单'!$B$2:$B$60,$D104)=0),"OK","")))</f>
        <v/>
      </c>
      <c r="M104" s="2" t="n"/>
    </row>
    <row r="105">
      <c r="A105" s="2">
        <f>IF($D105="","",ROW()-1)</f>
        <v/>
      </c>
      <c r="B105" s="2" t="n"/>
      <c r="C105" s="2" t="n"/>
      <c r="D105" s="2" t="n"/>
      <c r="E105" s="2" t="n"/>
      <c r="F105" s="2">
        <f>IF($D105="","",MID($D105,1,FIND("|",SUBSTITUTE($D105,".","|",3))-1)&amp;".x")</f>
        <v/>
      </c>
      <c r="G105" s="2" t="n"/>
      <c r="H105" s="2" t="n"/>
      <c r="I105" s="2" t="n"/>
      <c r="J105" s="2" t="n"/>
      <c r="K105" s="2" t="n"/>
      <c r="L105" s="2">
        <f>IF($D105="","",TRIM(IF(COUNTIF($D$2:$D$300,$D105)&gt;1,"重复IP ","")&amp;IF(COUNTIF('网关清单'!$B$2:$B$60,$D105)&gt;0,"撞网关 ","")&amp;IF(AND(COUNTIF($D$2:$D$300,$D105)=1,COUNTIF('网关清单'!$B$2:$B$60,$D105)=0),"OK","")))</f>
        <v/>
      </c>
      <c r="M105" s="2" t="n"/>
    </row>
    <row r="106">
      <c r="A106" s="2">
        <f>IF($D106="","",ROW()-1)</f>
        <v/>
      </c>
      <c r="B106" s="2" t="n"/>
      <c r="C106" s="2" t="n"/>
      <c r="D106" s="2" t="n"/>
      <c r="E106" s="2" t="n"/>
      <c r="F106" s="2">
        <f>IF($D106="","",MID($D106,1,FIND("|",SUBSTITUTE($D106,".","|",3))-1)&amp;".x")</f>
        <v/>
      </c>
      <c r="G106" s="2" t="n"/>
      <c r="H106" s="2" t="n"/>
      <c r="I106" s="2" t="n"/>
      <c r="J106" s="2" t="n"/>
      <c r="K106" s="2" t="n"/>
      <c r="L106" s="2">
        <f>IF($D106="","",TRIM(IF(COUNTIF($D$2:$D$300,$D106)&gt;1,"重复IP ","")&amp;IF(COUNTIF('网关清单'!$B$2:$B$60,$D106)&gt;0,"撞网关 ","")&amp;IF(AND(COUNTIF($D$2:$D$300,$D106)=1,COUNTIF('网关清单'!$B$2:$B$60,$D106)=0),"OK","")))</f>
        <v/>
      </c>
      <c r="M106" s="2" t="n"/>
    </row>
    <row r="107">
      <c r="A107" s="2">
        <f>IF($D107="","",ROW()-1)</f>
        <v/>
      </c>
      <c r="B107" s="2" t="n"/>
      <c r="C107" s="2" t="n"/>
      <c r="D107" s="2" t="n"/>
      <c r="E107" s="2" t="n"/>
      <c r="F107" s="2">
        <f>IF($D107="","",MID($D107,1,FIND("|",SUBSTITUTE($D107,".","|",3))-1)&amp;".x")</f>
        <v/>
      </c>
      <c r="G107" s="2" t="n"/>
      <c r="H107" s="2" t="n"/>
      <c r="I107" s="2" t="n"/>
      <c r="J107" s="2" t="n"/>
      <c r="K107" s="2" t="n"/>
      <c r="L107" s="2">
        <f>IF($D107="","",TRIM(IF(COUNTIF($D$2:$D$300,$D107)&gt;1,"重复IP ","")&amp;IF(COUNTIF('网关清单'!$B$2:$B$60,$D107)&gt;0,"撞网关 ","")&amp;IF(AND(COUNTIF($D$2:$D$300,$D107)=1,COUNTIF('网关清单'!$B$2:$B$60,$D107)=0),"OK","")))</f>
        <v/>
      </c>
      <c r="M107" s="2" t="n"/>
    </row>
    <row r="108">
      <c r="A108" s="2">
        <f>IF($D108="","",ROW()-1)</f>
        <v/>
      </c>
      <c r="B108" s="2" t="n"/>
      <c r="C108" s="2" t="n"/>
      <c r="D108" s="2" t="n"/>
      <c r="E108" s="2" t="n"/>
      <c r="F108" s="2">
        <f>IF($D108="","",MID($D108,1,FIND("|",SUBSTITUTE($D108,".","|",3))-1)&amp;".x")</f>
        <v/>
      </c>
      <c r="G108" s="2" t="n"/>
      <c r="H108" s="2" t="n"/>
      <c r="I108" s="2" t="n"/>
      <c r="J108" s="2" t="n"/>
      <c r="K108" s="2" t="n"/>
      <c r="L108" s="2">
        <f>IF($D108="","",TRIM(IF(COUNTIF($D$2:$D$300,$D108)&gt;1,"重复IP ","")&amp;IF(COUNTIF('网关清单'!$B$2:$B$60,$D108)&gt;0,"撞网关 ","")&amp;IF(AND(COUNTIF($D$2:$D$300,$D108)=1,COUNTIF('网关清单'!$B$2:$B$60,$D108)=0),"OK","")))</f>
        <v/>
      </c>
      <c r="M108" s="2" t="n"/>
    </row>
    <row r="109">
      <c r="A109" s="2">
        <f>IF($D109="","",ROW()-1)</f>
        <v/>
      </c>
      <c r="B109" s="2" t="n"/>
      <c r="C109" s="2" t="n"/>
      <c r="D109" s="2" t="n"/>
      <c r="E109" s="2" t="n"/>
      <c r="F109" s="2">
        <f>IF($D109="","",MID($D109,1,FIND("|",SUBSTITUTE($D109,".","|",3))-1)&amp;".x")</f>
        <v/>
      </c>
      <c r="G109" s="2" t="n"/>
      <c r="H109" s="2" t="n"/>
      <c r="I109" s="2" t="n"/>
      <c r="J109" s="2" t="n"/>
      <c r="K109" s="2" t="n"/>
      <c r="L109" s="2">
        <f>IF($D109="","",TRIM(IF(COUNTIF($D$2:$D$300,$D109)&gt;1,"重复IP ","")&amp;IF(COUNTIF('网关清单'!$B$2:$B$60,$D109)&gt;0,"撞网关 ","")&amp;IF(AND(COUNTIF($D$2:$D$300,$D109)=1,COUNTIF('网关清单'!$B$2:$B$60,$D109)=0),"OK","")))</f>
        <v/>
      </c>
      <c r="M109" s="2" t="n"/>
    </row>
    <row r="110">
      <c r="A110" s="2">
        <f>IF($D110="","",ROW()-1)</f>
        <v/>
      </c>
      <c r="B110" s="2" t="n"/>
      <c r="C110" s="2" t="n"/>
      <c r="D110" s="2" t="n"/>
      <c r="E110" s="2" t="n"/>
      <c r="F110" s="2">
        <f>IF($D110="","",MID($D110,1,FIND("|",SUBSTITUTE($D110,".","|",3))-1)&amp;".x")</f>
        <v/>
      </c>
      <c r="G110" s="2" t="n"/>
      <c r="H110" s="2" t="n"/>
      <c r="I110" s="2" t="n"/>
      <c r="J110" s="2" t="n"/>
      <c r="K110" s="2" t="n"/>
      <c r="L110" s="2">
        <f>IF($D110="","",TRIM(IF(COUNTIF($D$2:$D$300,$D110)&gt;1,"重复IP ","")&amp;IF(COUNTIF('网关清单'!$B$2:$B$60,$D110)&gt;0,"撞网关 ","")&amp;IF(AND(COUNTIF($D$2:$D$300,$D110)=1,COUNTIF('网关清单'!$B$2:$B$60,$D110)=0),"OK","")))</f>
        <v/>
      </c>
      <c r="M110" s="2" t="n"/>
    </row>
    <row r="111">
      <c r="A111" s="2">
        <f>IF($D111="","",ROW()-1)</f>
        <v/>
      </c>
      <c r="B111" s="2" t="n"/>
      <c r="C111" s="2" t="n"/>
      <c r="D111" s="2" t="n"/>
      <c r="E111" s="2" t="n"/>
      <c r="F111" s="2">
        <f>IF($D111="","",MID($D111,1,FIND("|",SUBSTITUTE($D111,".","|",3))-1)&amp;".x")</f>
        <v/>
      </c>
      <c r="G111" s="2" t="n"/>
      <c r="H111" s="2" t="n"/>
      <c r="I111" s="2" t="n"/>
      <c r="J111" s="2" t="n"/>
      <c r="K111" s="2" t="n"/>
      <c r="L111" s="2">
        <f>IF($D111="","",TRIM(IF(COUNTIF($D$2:$D$300,$D111)&gt;1,"重复IP ","")&amp;IF(COUNTIF('网关清单'!$B$2:$B$60,$D111)&gt;0,"撞网关 ","")&amp;IF(AND(COUNTIF($D$2:$D$300,$D111)=1,COUNTIF('网关清单'!$B$2:$B$60,$D111)=0),"OK","")))</f>
        <v/>
      </c>
      <c r="M111" s="2" t="n"/>
    </row>
    <row r="112">
      <c r="A112" s="2">
        <f>IF($D112="","",ROW()-1)</f>
        <v/>
      </c>
      <c r="B112" s="2" t="n"/>
      <c r="C112" s="2" t="n"/>
      <c r="D112" s="2" t="n"/>
      <c r="E112" s="2" t="n"/>
      <c r="F112" s="2">
        <f>IF($D112="","",MID($D112,1,FIND("|",SUBSTITUTE($D112,".","|",3))-1)&amp;".x")</f>
        <v/>
      </c>
      <c r="G112" s="2" t="n"/>
      <c r="H112" s="2" t="n"/>
      <c r="I112" s="2" t="n"/>
      <c r="J112" s="2" t="n"/>
      <c r="K112" s="2" t="n"/>
      <c r="L112" s="2">
        <f>IF($D112="","",TRIM(IF(COUNTIF($D$2:$D$300,$D112)&gt;1,"重复IP ","")&amp;IF(COUNTIF('网关清单'!$B$2:$B$60,$D112)&gt;0,"撞网关 ","")&amp;IF(AND(COUNTIF($D$2:$D$300,$D112)=1,COUNTIF('网关清单'!$B$2:$B$60,$D112)=0),"OK","")))</f>
        <v/>
      </c>
      <c r="M112" s="2" t="n"/>
    </row>
    <row r="113">
      <c r="A113" s="2">
        <f>IF($D113="","",ROW()-1)</f>
        <v/>
      </c>
      <c r="B113" s="2" t="n"/>
      <c r="C113" s="2" t="n"/>
      <c r="D113" s="2" t="n"/>
      <c r="E113" s="2" t="n"/>
      <c r="F113" s="2">
        <f>IF($D113="","",MID($D113,1,FIND("|",SUBSTITUTE($D113,".","|",3))-1)&amp;".x")</f>
        <v/>
      </c>
      <c r="G113" s="2" t="n"/>
      <c r="H113" s="2" t="n"/>
      <c r="I113" s="2" t="n"/>
      <c r="J113" s="2" t="n"/>
      <c r="K113" s="2" t="n"/>
      <c r="L113" s="2">
        <f>IF($D113="","",TRIM(IF(COUNTIF($D$2:$D$300,$D113)&gt;1,"重复IP ","")&amp;IF(COUNTIF('网关清单'!$B$2:$B$60,$D113)&gt;0,"撞网关 ","")&amp;IF(AND(COUNTIF($D$2:$D$300,$D113)=1,COUNTIF('网关清单'!$B$2:$B$60,$D113)=0),"OK","")))</f>
        <v/>
      </c>
      <c r="M113" s="2" t="n"/>
    </row>
    <row r="114">
      <c r="A114" s="2">
        <f>IF($D114="","",ROW()-1)</f>
        <v/>
      </c>
      <c r="B114" s="2" t="n"/>
      <c r="C114" s="2" t="n"/>
      <c r="D114" s="2" t="n"/>
      <c r="E114" s="2" t="n"/>
      <c r="F114" s="2">
        <f>IF($D114="","",MID($D114,1,FIND("|",SUBSTITUTE($D114,".","|",3))-1)&amp;".x")</f>
        <v/>
      </c>
      <c r="G114" s="2" t="n"/>
      <c r="H114" s="2" t="n"/>
      <c r="I114" s="2" t="n"/>
      <c r="J114" s="2" t="n"/>
      <c r="K114" s="2" t="n"/>
      <c r="L114" s="2">
        <f>IF($D114="","",TRIM(IF(COUNTIF($D$2:$D$300,$D114)&gt;1,"重复IP ","")&amp;IF(COUNTIF('网关清单'!$B$2:$B$60,$D114)&gt;0,"撞网关 ","")&amp;IF(AND(COUNTIF($D$2:$D$300,$D114)=1,COUNTIF('网关清单'!$B$2:$B$60,$D114)=0),"OK","")))</f>
        <v/>
      </c>
      <c r="M114" s="2" t="n"/>
    </row>
    <row r="115">
      <c r="A115" s="2">
        <f>IF($D115="","",ROW()-1)</f>
        <v/>
      </c>
      <c r="B115" s="2" t="n"/>
      <c r="C115" s="2" t="n"/>
      <c r="D115" s="2" t="n"/>
      <c r="E115" s="2" t="n"/>
      <c r="F115" s="2">
        <f>IF($D115="","",MID($D115,1,FIND("|",SUBSTITUTE($D115,".","|",3))-1)&amp;".x")</f>
        <v/>
      </c>
      <c r="G115" s="2" t="n"/>
      <c r="H115" s="2" t="n"/>
      <c r="I115" s="2" t="n"/>
      <c r="J115" s="2" t="n"/>
      <c r="K115" s="2" t="n"/>
      <c r="L115" s="2">
        <f>IF($D115="","",TRIM(IF(COUNTIF($D$2:$D$300,$D115)&gt;1,"重复IP ","")&amp;IF(COUNTIF('网关清单'!$B$2:$B$60,$D115)&gt;0,"撞网关 ","")&amp;IF(AND(COUNTIF($D$2:$D$300,$D115)=1,COUNTIF('网关清单'!$B$2:$B$60,$D115)=0),"OK","")))</f>
        <v/>
      </c>
      <c r="M115" s="2" t="n"/>
    </row>
    <row r="116">
      <c r="A116" s="2">
        <f>IF($D116="","",ROW()-1)</f>
        <v/>
      </c>
      <c r="B116" s="2" t="n"/>
      <c r="C116" s="2" t="n"/>
      <c r="D116" s="2" t="n"/>
      <c r="E116" s="2" t="n"/>
      <c r="F116" s="2">
        <f>IF($D116="","",MID($D116,1,FIND("|",SUBSTITUTE($D116,".","|",3))-1)&amp;".x")</f>
        <v/>
      </c>
      <c r="G116" s="2" t="n"/>
      <c r="H116" s="2" t="n"/>
      <c r="I116" s="2" t="n"/>
      <c r="J116" s="2" t="n"/>
      <c r="K116" s="2" t="n"/>
      <c r="L116" s="2">
        <f>IF($D116="","",TRIM(IF(COUNTIF($D$2:$D$300,$D116)&gt;1,"重复IP ","")&amp;IF(COUNTIF('网关清单'!$B$2:$B$60,$D116)&gt;0,"撞网关 ","")&amp;IF(AND(COUNTIF($D$2:$D$300,$D116)=1,COUNTIF('网关清单'!$B$2:$B$60,$D116)=0),"OK","")))</f>
        <v/>
      </c>
      <c r="M116" s="2" t="n"/>
    </row>
    <row r="117">
      <c r="A117" s="2">
        <f>IF($D117="","",ROW()-1)</f>
        <v/>
      </c>
      <c r="B117" s="2" t="n"/>
      <c r="C117" s="2" t="n"/>
      <c r="D117" s="2" t="n"/>
      <c r="E117" s="2" t="n"/>
      <c r="F117" s="2">
        <f>IF($D117="","",MID($D117,1,FIND("|",SUBSTITUTE($D117,".","|",3))-1)&amp;".x")</f>
        <v/>
      </c>
      <c r="G117" s="2" t="n"/>
      <c r="H117" s="2" t="n"/>
      <c r="I117" s="2" t="n"/>
      <c r="J117" s="2" t="n"/>
      <c r="K117" s="2" t="n"/>
      <c r="L117" s="2">
        <f>IF($D117="","",TRIM(IF(COUNTIF($D$2:$D$300,$D117)&gt;1,"重复IP ","")&amp;IF(COUNTIF('网关清单'!$B$2:$B$60,$D117)&gt;0,"撞网关 ","")&amp;IF(AND(COUNTIF($D$2:$D$300,$D117)=1,COUNTIF('网关清单'!$B$2:$B$60,$D117)=0),"OK","")))</f>
        <v/>
      </c>
      <c r="M117" s="2" t="n"/>
    </row>
    <row r="118">
      <c r="A118" s="2">
        <f>IF($D118="","",ROW()-1)</f>
        <v/>
      </c>
      <c r="B118" s="2" t="n"/>
      <c r="C118" s="2" t="n"/>
      <c r="D118" s="2" t="n"/>
      <c r="E118" s="2" t="n"/>
      <c r="F118" s="2">
        <f>IF($D118="","",MID($D118,1,FIND("|",SUBSTITUTE($D118,".","|",3))-1)&amp;".x")</f>
        <v/>
      </c>
      <c r="G118" s="2" t="n"/>
      <c r="H118" s="2" t="n"/>
      <c r="I118" s="2" t="n"/>
      <c r="J118" s="2" t="n"/>
      <c r="K118" s="2" t="n"/>
      <c r="L118" s="2">
        <f>IF($D118="","",TRIM(IF(COUNTIF($D$2:$D$300,$D118)&gt;1,"重复IP ","")&amp;IF(COUNTIF('网关清单'!$B$2:$B$60,$D118)&gt;0,"撞网关 ","")&amp;IF(AND(COUNTIF($D$2:$D$300,$D118)=1,COUNTIF('网关清单'!$B$2:$B$60,$D118)=0),"OK","")))</f>
        <v/>
      </c>
      <c r="M118" s="2" t="n"/>
    </row>
    <row r="119">
      <c r="A119" s="2">
        <f>IF($D119="","",ROW()-1)</f>
        <v/>
      </c>
      <c r="B119" s="2" t="n"/>
      <c r="C119" s="2" t="n"/>
      <c r="D119" s="2" t="n"/>
      <c r="E119" s="2" t="n"/>
      <c r="F119" s="2">
        <f>IF($D119="","",MID($D119,1,FIND("|",SUBSTITUTE($D119,".","|",3))-1)&amp;".x")</f>
        <v/>
      </c>
      <c r="G119" s="2" t="n"/>
      <c r="H119" s="2" t="n"/>
      <c r="I119" s="2" t="n"/>
      <c r="J119" s="2" t="n"/>
      <c r="K119" s="2" t="n"/>
      <c r="L119" s="2">
        <f>IF($D119="","",TRIM(IF(COUNTIF($D$2:$D$300,$D119)&gt;1,"重复IP ","")&amp;IF(COUNTIF('网关清单'!$B$2:$B$60,$D119)&gt;0,"撞网关 ","")&amp;IF(AND(COUNTIF($D$2:$D$300,$D119)=1,COUNTIF('网关清单'!$B$2:$B$60,$D119)=0),"OK","")))</f>
        <v/>
      </c>
      <c r="M119" s="2" t="n"/>
    </row>
    <row r="120">
      <c r="A120" s="2">
        <f>IF($D120="","",ROW()-1)</f>
        <v/>
      </c>
      <c r="B120" s="2" t="n"/>
      <c r="C120" s="2" t="n"/>
      <c r="D120" s="2" t="n"/>
      <c r="E120" s="2" t="n"/>
      <c r="F120" s="2">
        <f>IF($D120="","",MID($D120,1,FIND("|",SUBSTITUTE($D120,".","|",3))-1)&amp;".x")</f>
        <v/>
      </c>
      <c r="G120" s="2" t="n"/>
      <c r="H120" s="2" t="n"/>
      <c r="I120" s="2" t="n"/>
      <c r="J120" s="2" t="n"/>
      <c r="K120" s="2" t="n"/>
      <c r="L120" s="2">
        <f>IF($D120="","",TRIM(IF(COUNTIF($D$2:$D$300,$D120)&gt;1,"重复IP ","")&amp;IF(COUNTIF('网关清单'!$B$2:$B$60,$D120)&gt;0,"撞网关 ","")&amp;IF(AND(COUNTIF($D$2:$D$300,$D120)=1,COUNTIF('网关清单'!$B$2:$B$60,$D120)=0),"OK","")))</f>
        <v/>
      </c>
      <c r="M120" s="2" t="n"/>
    </row>
    <row r="121">
      <c r="A121" s="2">
        <f>IF($D121="","",ROW()-1)</f>
        <v/>
      </c>
      <c r="B121" s="2" t="n"/>
      <c r="C121" s="2" t="n"/>
      <c r="D121" s="2" t="n"/>
      <c r="E121" s="2" t="n"/>
      <c r="F121" s="2">
        <f>IF($D121="","",MID($D121,1,FIND("|",SUBSTITUTE($D121,".","|",3))-1)&amp;".x")</f>
        <v/>
      </c>
      <c r="G121" s="2" t="n"/>
      <c r="H121" s="2" t="n"/>
      <c r="I121" s="2" t="n"/>
      <c r="J121" s="2" t="n"/>
      <c r="K121" s="2" t="n"/>
      <c r="L121" s="2">
        <f>IF($D121="","",TRIM(IF(COUNTIF($D$2:$D$300,$D121)&gt;1,"重复IP ","")&amp;IF(COUNTIF('网关清单'!$B$2:$B$60,$D121)&gt;0,"撞网关 ","")&amp;IF(AND(COUNTIF($D$2:$D$300,$D121)=1,COUNTIF('网关清单'!$B$2:$B$60,$D121)=0),"OK","")))</f>
        <v/>
      </c>
      <c r="M121" s="2" t="n"/>
    </row>
    <row r="122">
      <c r="A122" s="2">
        <f>IF($D122="","",ROW()-1)</f>
        <v/>
      </c>
      <c r="B122" s="2" t="n"/>
      <c r="C122" s="2" t="n"/>
      <c r="D122" s="2" t="n"/>
      <c r="E122" s="2" t="n"/>
      <c r="F122" s="2">
        <f>IF($D122="","",MID($D122,1,FIND("|",SUBSTITUTE($D122,".","|",3))-1)&amp;".x")</f>
        <v/>
      </c>
      <c r="G122" s="2" t="n"/>
      <c r="H122" s="2" t="n"/>
      <c r="I122" s="2" t="n"/>
      <c r="J122" s="2" t="n"/>
      <c r="K122" s="2" t="n"/>
      <c r="L122" s="2">
        <f>IF($D122="","",TRIM(IF(COUNTIF($D$2:$D$300,$D122)&gt;1,"重复IP ","")&amp;IF(COUNTIF('网关清单'!$B$2:$B$60,$D122)&gt;0,"撞网关 ","")&amp;IF(AND(COUNTIF($D$2:$D$300,$D122)=1,COUNTIF('网关清单'!$B$2:$B$60,$D122)=0),"OK","")))</f>
        <v/>
      </c>
      <c r="M122" s="2" t="n"/>
    </row>
    <row r="123">
      <c r="A123" s="2">
        <f>IF($D123="","",ROW()-1)</f>
        <v/>
      </c>
      <c r="B123" s="2" t="n"/>
      <c r="C123" s="2" t="n"/>
      <c r="D123" s="2" t="n"/>
      <c r="E123" s="2" t="n"/>
      <c r="F123" s="2">
        <f>IF($D123="","",MID($D123,1,FIND("|",SUBSTITUTE($D123,".","|",3))-1)&amp;".x")</f>
        <v/>
      </c>
      <c r="G123" s="2" t="n"/>
      <c r="H123" s="2" t="n"/>
      <c r="I123" s="2" t="n"/>
      <c r="J123" s="2" t="n"/>
      <c r="K123" s="2" t="n"/>
      <c r="L123" s="2">
        <f>IF($D123="","",TRIM(IF(COUNTIF($D$2:$D$300,$D123)&gt;1,"重复IP ","")&amp;IF(COUNTIF('网关清单'!$B$2:$B$60,$D123)&gt;0,"撞网关 ","")&amp;IF(AND(COUNTIF($D$2:$D$300,$D123)=1,COUNTIF('网关清单'!$B$2:$B$60,$D123)=0),"OK","")))</f>
        <v/>
      </c>
      <c r="M123" s="2" t="n"/>
    </row>
    <row r="124">
      <c r="A124" s="2">
        <f>IF($D124="","",ROW()-1)</f>
        <v/>
      </c>
      <c r="B124" s="2" t="n"/>
      <c r="C124" s="2" t="n"/>
      <c r="D124" s="2" t="n"/>
      <c r="E124" s="2" t="n"/>
      <c r="F124" s="2">
        <f>IF($D124="","",MID($D124,1,FIND("|",SUBSTITUTE($D124,".","|",3))-1)&amp;".x")</f>
        <v/>
      </c>
      <c r="G124" s="2" t="n"/>
      <c r="H124" s="2" t="n"/>
      <c r="I124" s="2" t="n"/>
      <c r="J124" s="2" t="n"/>
      <c r="K124" s="2" t="n"/>
      <c r="L124" s="2">
        <f>IF($D124="","",TRIM(IF(COUNTIF($D$2:$D$300,$D124)&gt;1,"重复IP ","")&amp;IF(COUNTIF('网关清单'!$B$2:$B$60,$D124)&gt;0,"撞网关 ","")&amp;IF(AND(COUNTIF($D$2:$D$300,$D124)=1,COUNTIF('网关清单'!$B$2:$B$60,$D124)=0),"OK","")))</f>
        <v/>
      </c>
      <c r="M124" s="2" t="n"/>
    </row>
    <row r="125">
      <c r="A125" s="2">
        <f>IF($D125="","",ROW()-1)</f>
        <v/>
      </c>
      <c r="B125" s="2" t="n"/>
      <c r="C125" s="2" t="n"/>
      <c r="D125" s="2" t="n"/>
      <c r="E125" s="2" t="n"/>
      <c r="F125" s="2">
        <f>IF($D125="","",MID($D125,1,FIND("|",SUBSTITUTE($D125,".","|",3))-1)&amp;".x")</f>
        <v/>
      </c>
      <c r="G125" s="2" t="n"/>
      <c r="H125" s="2" t="n"/>
      <c r="I125" s="2" t="n"/>
      <c r="J125" s="2" t="n"/>
      <c r="K125" s="2" t="n"/>
      <c r="L125" s="2">
        <f>IF($D125="","",TRIM(IF(COUNTIF($D$2:$D$300,$D125)&gt;1,"重复IP ","")&amp;IF(COUNTIF('网关清单'!$B$2:$B$60,$D125)&gt;0,"撞网关 ","")&amp;IF(AND(COUNTIF($D$2:$D$300,$D125)=1,COUNTIF('网关清单'!$B$2:$B$60,$D125)=0),"OK","")))</f>
        <v/>
      </c>
      <c r="M125" s="2" t="n"/>
    </row>
    <row r="126">
      <c r="A126" s="2">
        <f>IF($D126="","",ROW()-1)</f>
        <v/>
      </c>
      <c r="B126" s="2" t="n"/>
      <c r="C126" s="2" t="n"/>
      <c r="D126" s="2" t="n"/>
      <c r="E126" s="2" t="n"/>
      <c r="F126" s="2">
        <f>IF($D126="","",MID($D126,1,FIND("|",SUBSTITUTE($D126,".","|",3))-1)&amp;".x")</f>
        <v/>
      </c>
      <c r="G126" s="2" t="n"/>
      <c r="H126" s="2" t="n"/>
      <c r="I126" s="2" t="n"/>
      <c r="J126" s="2" t="n"/>
      <c r="K126" s="2" t="n"/>
      <c r="L126" s="2">
        <f>IF($D126="","",TRIM(IF(COUNTIF($D$2:$D$300,$D126)&gt;1,"重复IP ","")&amp;IF(COUNTIF('网关清单'!$B$2:$B$60,$D126)&gt;0,"撞网关 ","")&amp;IF(AND(COUNTIF($D$2:$D$300,$D126)=1,COUNTIF('网关清单'!$B$2:$B$60,$D126)=0),"OK","")))</f>
        <v/>
      </c>
      <c r="M126" s="2" t="n"/>
    </row>
    <row r="127">
      <c r="A127" s="2">
        <f>IF($D127="","",ROW()-1)</f>
        <v/>
      </c>
      <c r="B127" s="2" t="n"/>
      <c r="C127" s="2" t="n"/>
      <c r="D127" s="2" t="n"/>
      <c r="E127" s="2" t="n"/>
      <c r="F127" s="2">
        <f>IF($D127="","",MID($D127,1,FIND("|",SUBSTITUTE($D127,".","|",3))-1)&amp;".x")</f>
        <v/>
      </c>
      <c r="G127" s="2" t="n"/>
      <c r="H127" s="2" t="n"/>
      <c r="I127" s="2" t="n"/>
      <c r="J127" s="2" t="n"/>
      <c r="K127" s="2" t="n"/>
      <c r="L127" s="2">
        <f>IF($D127="","",TRIM(IF(COUNTIF($D$2:$D$300,$D127)&gt;1,"重复IP ","")&amp;IF(COUNTIF('网关清单'!$B$2:$B$60,$D127)&gt;0,"撞网关 ","")&amp;IF(AND(COUNTIF($D$2:$D$300,$D127)=1,COUNTIF('网关清单'!$B$2:$B$60,$D127)=0),"OK","")))</f>
        <v/>
      </c>
      <c r="M127" s="2" t="n"/>
    </row>
    <row r="128">
      <c r="A128" s="2">
        <f>IF($D128="","",ROW()-1)</f>
        <v/>
      </c>
      <c r="B128" s="2" t="n"/>
      <c r="C128" s="2" t="n"/>
      <c r="D128" s="2" t="n"/>
      <c r="E128" s="2" t="n"/>
      <c r="F128" s="2">
        <f>IF($D128="","",MID($D128,1,FIND("|",SUBSTITUTE($D128,".","|",3))-1)&amp;".x")</f>
        <v/>
      </c>
      <c r="G128" s="2" t="n"/>
      <c r="H128" s="2" t="n"/>
      <c r="I128" s="2" t="n"/>
      <c r="J128" s="2" t="n"/>
      <c r="K128" s="2" t="n"/>
      <c r="L128" s="2">
        <f>IF($D128="","",TRIM(IF(COUNTIF($D$2:$D$300,$D128)&gt;1,"重复IP ","")&amp;IF(COUNTIF('网关清单'!$B$2:$B$60,$D128)&gt;0,"撞网关 ","")&amp;IF(AND(COUNTIF($D$2:$D$300,$D128)=1,COUNTIF('网关清单'!$B$2:$B$60,$D128)=0),"OK","")))</f>
        <v/>
      </c>
      <c r="M128" s="2" t="n"/>
    </row>
    <row r="129">
      <c r="A129" s="2">
        <f>IF($D129="","",ROW()-1)</f>
        <v/>
      </c>
      <c r="B129" s="2" t="n"/>
      <c r="C129" s="2" t="n"/>
      <c r="D129" s="2" t="n"/>
      <c r="E129" s="2" t="n"/>
      <c r="F129" s="2">
        <f>IF($D129="","",MID($D129,1,FIND("|",SUBSTITUTE($D129,".","|",3))-1)&amp;".x")</f>
        <v/>
      </c>
      <c r="G129" s="2" t="n"/>
      <c r="H129" s="2" t="n"/>
      <c r="I129" s="2" t="n"/>
      <c r="J129" s="2" t="n"/>
      <c r="K129" s="2" t="n"/>
      <c r="L129" s="2">
        <f>IF($D129="","",TRIM(IF(COUNTIF($D$2:$D$300,$D129)&gt;1,"重复IP ","")&amp;IF(COUNTIF('网关清单'!$B$2:$B$60,$D129)&gt;0,"撞网关 ","")&amp;IF(AND(COUNTIF($D$2:$D$300,$D129)=1,COUNTIF('网关清单'!$B$2:$B$60,$D129)=0),"OK","")))</f>
        <v/>
      </c>
      <c r="M129" s="2" t="n"/>
    </row>
    <row r="130">
      <c r="A130" s="2">
        <f>IF($D130="","",ROW()-1)</f>
        <v/>
      </c>
      <c r="B130" s="2" t="n"/>
      <c r="C130" s="2" t="n"/>
      <c r="D130" s="2" t="n"/>
      <c r="E130" s="2" t="n"/>
      <c r="F130" s="2">
        <f>IF($D130="","",MID($D130,1,FIND("|",SUBSTITUTE($D130,".","|",3))-1)&amp;".x")</f>
        <v/>
      </c>
      <c r="G130" s="2" t="n"/>
      <c r="H130" s="2" t="n"/>
      <c r="I130" s="2" t="n"/>
      <c r="J130" s="2" t="n"/>
      <c r="K130" s="2" t="n"/>
      <c r="L130" s="2">
        <f>IF($D130="","",TRIM(IF(COUNTIF($D$2:$D$300,$D130)&gt;1,"重复IP ","")&amp;IF(COUNTIF('网关清单'!$B$2:$B$60,$D130)&gt;0,"撞网关 ","")&amp;IF(AND(COUNTIF($D$2:$D$300,$D130)=1,COUNTIF('网关清单'!$B$2:$B$60,$D130)=0),"OK","")))</f>
        <v/>
      </c>
      <c r="M130" s="2" t="n"/>
    </row>
    <row r="131">
      <c r="A131" s="2">
        <f>IF($D131="","",ROW()-1)</f>
        <v/>
      </c>
      <c r="B131" s="2" t="n"/>
      <c r="C131" s="2" t="n"/>
      <c r="D131" s="2" t="n"/>
      <c r="E131" s="2" t="n"/>
      <c r="F131" s="2">
        <f>IF($D131="","",MID($D131,1,FIND("|",SUBSTITUTE($D131,".","|",3))-1)&amp;".x")</f>
        <v/>
      </c>
      <c r="G131" s="2" t="n"/>
      <c r="H131" s="2" t="n"/>
      <c r="I131" s="2" t="n"/>
      <c r="J131" s="2" t="n"/>
      <c r="K131" s="2" t="n"/>
      <c r="L131" s="2">
        <f>IF($D131="","",TRIM(IF(COUNTIF($D$2:$D$300,$D131)&gt;1,"重复IP ","")&amp;IF(COUNTIF('网关清单'!$B$2:$B$60,$D131)&gt;0,"撞网关 ","")&amp;IF(AND(COUNTIF($D$2:$D$300,$D131)=1,COUNTIF('网关清单'!$B$2:$B$60,$D131)=0),"OK","")))</f>
        <v/>
      </c>
      <c r="M131" s="2" t="n"/>
    </row>
    <row r="132">
      <c r="A132" s="2">
        <f>IF($D132="","",ROW()-1)</f>
        <v/>
      </c>
      <c r="B132" s="2" t="n"/>
      <c r="C132" s="2" t="n"/>
      <c r="D132" s="2" t="n"/>
      <c r="E132" s="2" t="n"/>
      <c r="F132" s="2">
        <f>IF($D132="","",MID($D132,1,FIND("|",SUBSTITUTE($D132,".","|",3))-1)&amp;".x")</f>
        <v/>
      </c>
      <c r="G132" s="2" t="n"/>
      <c r="H132" s="2" t="n"/>
      <c r="I132" s="2" t="n"/>
      <c r="J132" s="2" t="n"/>
      <c r="K132" s="2" t="n"/>
      <c r="L132" s="2">
        <f>IF($D132="","",TRIM(IF(COUNTIF($D$2:$D$300,$D132)&gt;1,"重复IP ","")&amp;IF(COUNTIF('网关清单'!$B$2:$B$60,$D132)&gt;0,"撞网关 ","")&amp;IF(AND(COUNTIF($D$2:$D$300,$D132)=1,COUNTIF('网关清单'!$B$2:$B$60,$D132)=0),"OK","")))</f>
        <v/>
      </c>
      <c r="M132" s="2" t="n"/>
    </row>
    <row r="133">
      <c r="A133" s="2">
        <f>IF($D133="","",ROW()-1)</f>
        <v/>
      </c>
      <c r="B133" s="2" t="n"/>
      <c r="C133" s="2" t="n"/>
      <c r="D133" s="2" t="n"/>
      <c r="E133" s="2" t="n"/>
      <c r="F133" s="2">
        <f>IF($D133="","",MID($D133,1,FIND("|",SUBSTITUTE($D133,".","|",3))-1)&amp;".x")</f>
        <v/>
      </c>
      <c r="G133" s="2" t="n"/>
      <c r="H133" s="2" t="n"/>
      <c r="I133" s="2" t="n"/>
      <c r="J133" s="2" t="n"/>
      <c r="K133" s="2" t="n"/>
      <c r="L133" s="2">
        <f>IF($D133="","",TRIM(IF(COUNTIF($D$2:$D$300,$D133)&gt;1,"重复IP ","")&amp;IF(COUNTIF('网关清单'!$B$2:$B$60,$D133)&gt;0,"撞网关 ","")&amp;IF(AND(COUNTIF($D$2:$D$300,$D133)=1,COUNTIF('网关清单'!$B$2:$B$60,$D133)=0),"OK","")))</f>
        <v/>
      </c>
      <c r="M133" s="2" t="n"/>
    </row>
    <row r="134">
      <c r="A134" s="2">
        <f>IF($D134="","",ROW()-1)</f>
        <v/>
      </c>
      <c r="B134" s="2" t="n"/>
      <c r="C134" s="2" t="n"/>
      <c r="D134" s="2" t="n"/>
      <c r="E134" s="2" t="n"/>
      <c r="F134" s="2">
        <f>IF($D134="","",MID($D134,1,FIND("|",SUBSTITUTE($D134,".","|",3))-1)&amp;".x")</f>
        <v/>
      </c>
      <c r="G134" s="2" t="n"/>
      <c r="H134" s="2" t="n"/>
      <c r="I134" s="2" t="n"/>
      <c r="J134" s="2" t="n"/>
      <c r="K134" s="2" t="n"/>
      <c r="L134" s="2">
        <f>IF($D134="","",TRIM(IF(COUNTIF($D$2:$D$300,$D134)&gt;1,"重复IP ","")&amp;IF(COUNTIF('网关清单'!$B$2:$B$60,$D134)&gt;0,"撞网关 ","")&amp;IF(AND(COUNTIF($D$2:$D$300,$D134)=1,COUNTIF('网关清单'!$B$2:$B$60,$D134)=0),"OK","")))</f>
        <v/>
      </c>
      <c r="M134" s="2" t="n"/>
    </row>
    <row r="135">
      <c r="A135" s="2">
        <f>IF($D135="","",ROW()-1)</f>
        <v/>
      </c>
      <c r="B135" s="2" t="n"/>
      <c r="C135" s="2" t="n"/>
      <c r="D135" s="2" t="n"/>
      <c r="E135" s="2" t="n"/>
      <c r="F135" s="2">
        <f>IF($D135="","",MID($D135,1,FIND("|",SUBSTITUTE($D135,".","|",3))-1)&amp;".x")</f>
        <v/>
      </c>
      <c r="G135" s="2" t="n"/>
      <c r="H135" s="2" t="n"/>
      <c r="I135" s="2" t="n"/>
      <c r="J135" s="2" t="n"/>
      <c r="K135" s="2" t="n"/>
      <c r="L135" s="2">
        <f>IF($D135="","",TRIM(IF(COUNTIF($D$2:$D$300,$D135)&gt;1,"重复IP ","")&amp;IF(COUNTIF('网关清单'!$B$2:$B$60,$D135)&gt;0,"撞网关 ","")&amp;IF(AND(COUNTIF($D$2:$D$300,$D135)=1,COUNTIF('网关清单'!$B$2:$B$60,$D135)=0),"OK","")))</f>
        <v/>
      </c>
      <c r="M135" s="2" t="n"/>
    </row>
    <row r="136">
      <c r="A136" s="2">
        <f>IF($D136="","",ROW()-1)</f>
        <v/>
      </c>
      <c r="B136" s="2" t="n"/>
      <c r="C136" s="2" t="n"/>
      <c r="D136" s="2" t="n"/>
      <c r="E136" s="2" t="n"/>
      <c r="F136" s="2">
        <f>IF($D136="","",MID($D136,1,FIND("|",SUBSTITUTE($D136,".","|",3))-1)&amp;".x")</f>
        <v/>
      </c>
      <c r="G136" s="2" t="n"/>
      <c r="H136" s="2" t="n"/>
      <c r="I136" s="2" t="n"/>
      <c r="J136" s="2" t="n"/>
      <c r="K136" s="2" t="n"/>
      <c r="L136" s="2">
        <f>IF($D136="","",TRIM(IF(COUNTIF($D$2:$D$300,$D136)&gt;1,"重复IP ","")&amp;IF(COUNTIF('网关清单'!$B$2:$B$60,$D136)&gt;0,"撞网关 ","")&amp;IF(AND(COUNTIF($D$2:$D$300,$D136)=1,COUNTIF('网关清单'!$B$2:$B$60,$D136)=0),"OK","")))</f>
        <v/>
      </c>
      <c r="M136" s="2" t="n"/>
    </row>
    <row r="137">
      <c r="A137" s="2">
        <f>IF($D137="","",ROW()-1)</f>
        <v/>
      </c>
      <c r="B137" s="2" t="n"/>
      <c r="C137" s="2" t="n"/>
      <c r="D137" s="2" t="n"/>
      <c r="E137" s="2" t="n"/>
      <c r="F137" s="2">
        <f>IF($D137="","",MID($D137,1,FIND("|",SUBSTITUTE($D137,".","|",3))-1)&amp;".x")</f>
        <v/>
      </c>
      <c r="G137" s="2" t="n"/>
      <c r="H137" s="2" t="n"/>
      <c r="I137" s="2" t="n"/>
      <c r="J137" s="2" t="n"/>
      <c r="K137" s="2" t="n"/>
      <c r="L137" s="2">
        <f>IF($D137="","",TRIM(IF(COUNTIF($D$2:$D$300,$D137)&gt;1,"重复IP ","")&amp;IF(COUNTIF('网关清单'!$B$2:$B$60,$D137)&gt;0,"撞网关 ","")&amp;IF(AND(COUNTIF($D$2:$D$300,$D137)=1,COUNTIF('网关清单'!$B$2:$B$60,$D137)=0),"OK","")))</f>
        <v/>
      </c>
      <c r="M137" s="2" t="n"/>
    </row>
    <row r="138">
      <c r="A138" s="2">
        <f>IF($D138="","",ROW()-1)</f>
        <v/>
      </c>
      <c r="B138" s="2" t="n"/>
      <c r="C138" s="2" t="n"/>
      <c r="D138" s="2" t="n"/>
      <c r="E138" s="2" t="n"/>
      <c r="F138" s="2">
        <f>IF($D138="","",MID($D138,1,FIND("|",SUBSTITUTE($D138,".","|",3))-1)&amp;".x")</f>
        <v/>
      </c>
      <c r="G138" s="2" t="n"/>
      <c r="H138" s="2" t="n"/>
      <c r="I138" s="2" t="n"/>
      <c r="J138" s="2" t="n"/>
      <c r="K138" s="2" t="n"/>
      <c r="L138" s="2">
        <f>IF($D138="","",TRIM(IF(COUNTIF($D$2:$D$300,$D138)&gt;1,"重复IP ","")&amp;IF(COUNTIF('网关清单'!$B$2:$B$60,$D138)&gt;0,"撞网关 ","")&amp;IF(AND(COUNTIF($D$2:$D$300,$D138)=1,COUNTIF('网关清单'!$B$2:$B$60,$D138)=0),"OK","")))</f>
        <v/>
      </c>
      <c r="M138" s="2" t="n"/>
    </row>
    <row r="139">
      <c r="A139" s="2">
        <f>IF($D139="","",ROW()-1)</f>
        <v/>
      </c>
      <c r="B139" s="2" t="n"/>
      <c r="C139" s="2" t="n"/>
      <c r="D139" s="2" t="n"/>
      <c r="E139" s="2" t="n"/>
      <c r="F139" s="2">
        <f>IF($D139="","",MID($D139,1,FIND("|",SUBSTITUTE($D139,".","|",3))-1)&amp;".x")</f>
        <v/>
      </c>
      <c r="G139" s="2" t="n"/>
      <c r="H139" s="2" t="n"/>
      <c r="I139" s="2" t="n"/>
      <c r="J139" s="2" t="n"/>
      <c r="K139" s="2" t="n"/>
      <c r="L139" s="2">
        <f>IF($D139="","",TRIM(IF(COUNTIF($D$2:$D$300,$D139)&gt;1,"重复IP ","")&amp;IF(COUNTIF('网关清单'!$B$2:$B$60,$D139)&gt;0,"撞网关 ","")&amp;IF(AND(COUNTIF($D$2:$D$300,$D139)=1,COUNTIF('网关清单'!$B$2:$B$60,$D139)=0),"OK","")))</f>
        <v/>
      </c>
      <c r="M139" s="2" t="n"/>
    </row>
    <row r="140">
      <c r="A140" s="2">
        <f>IF($D140="","",ROW()-1)</f>
        <v/>
      </c>
      <c r="B140" s="2" t="n"/>
      <c r="C140" s="2" t="n"/>
      <c r="D140" s="2" t="n"/>
      <c r="E140" s="2" t="n"/>
      <c r="F140" s="2">
        <f>IF($D140="","",MID($D140,1,FIND("|",SUBSTITUTE($D140,".","|",3))-1)&amp;".x")</f>
        <v/>
      </c>
      <c r="G140" s="2" t="n"/>
      <c r="H140" s="2" t="n"/>
      <c r="I140" s="2" t="n"/>
      <c r="J140" s="2" t="n"/>
      <c r="K140" s="2" t="n"/>
      <c r="L140" s="2">
        <f>IF($D140="","",TRIM(IF(COUNTIF($D$2:$D$300,$D140)&gt;1,"重复IP ","")&amp;IF(COUNTIF('网关清单'!$B$2:$B$60,$D140)&gt;0,"撞网关 ","")&amp;IF(AND(COUNTIF($D$2:$D$300,$D140)=1,COUNTIF('网关清单'!$B$2:$B$60,$D140)=0),"OK","")))</f>
        <v/>
      </c>
      <c r="M140" s="2" t="n"/>
    </row>
    <row r="141">
      <c r="A141" s="2">
        <f>IF($D141="","",ROW()-1)</f>
        <v/>
      </c>
      <c r="B141" s="2" t="n"/>
      <c r="C141" s="2" t="n"/>
      <c r="D141" s="2" t="n"/>
      <c r="E141" s="2" t="n"/>
      <c r="F141" s="2">
        <f>IF($D141="","",MID($D141,1,FIND("|",SUBSTITUTE($D141,".","|",3))-1)&amp;".x")</f>
        <v/>
      </c>
      <c r="G141" s="2" t="n"/>
      <c r="H141" s="2" t="n"/>
      <c r="I141" s="2" t="n"/>
      <c r="J141" s="2" t="n"/>
      <c r="K141" s="2" t="n"/>
      <c r="L141" s="2">
        <f>IF($D141="","",TRIM(IF(COUNTIF($D$2:$D$300,$D141)&gt;1,"重复IP ","")&amp;IF(COUNTIF('网关清单'!$B$2:$B$60,$D141)&gt;0,"撞网关 ","")&amp;IF(AND(COUNTIF($D$2:$D$300,$D141)=1,COUNTIF('网关清单'!$B$2:$B$60,$D141)=0),"OK","")))</f>
        <v/>
      </c>
      <c r="M141" s="2" t="n"/>
    </row>
    <row r="142">
      <c r="A142" s="2">
        <f>IF($D142="","",ROW()-1)</f>
        <v/>
      </c>
      <c r="B142" s="2" t="n"/>
      <c r="C142" s="2" t="n"/>
      <c r="D142" s="2" t="n"/>
      <c r="E142" s="2" t="n"/>
      <c r="F142" s="2">
        <f>IF($D142="","",MID($D142,1,FIND("|",SUBSTITUTE($D142,".","|",3))-1)&amp;".x")</f>
        <v/>
      </c>
      <c r="G142" s="2" t="n"/>
      <c r="H142" s="2" t="n"/>
      <c r="I142" s="2" t="n"/>
      <c r="J142" s="2" t="n"/>
      <c r="K142" s="2" t="n"/>
      <c r="L142" s="2">
        <f>IF($D142="","",TRIM(IF(COUNTIF($D$2:$D$300,$D142)&gt;1,"重复IP ","")&amp;IF(COUNTIF('网关清单'!$B$2:$B$60,$D142)&gt;0,"撞网关 ","")&amp;IF(AND(COUNTIF($D$2:$D$300,$D142)=1,COUNTIF('网关清单'!$B$2:$B$60,$D142)=0),"OK","")))</f>
        <v/>
      </c>
      <c r="M142" s="2" t="n"/>
    </row>
    <row r="143">
      <c r="A143" s="2">
        <f>IF($D143="","",ROW()-1)</f>
        <v/>
      </c>
      <c r="B143" s="2" t="n"/>
      <c r="C143" s="2" t="n"/>
      <c r="D143" s="2" t="n"/>
      <c r="E143" s="2" t="n"/>
      <c r="F143" s="2">
        <f>IF($D143="","",MID($D143,1,FIND("|",SUBSTITUTE($D143,".","|",3))-1)&amp;".x")</f>
        <v/>
      </c>
      <c r="G143" s="2" t="n"/>
      <c r="H143" s="2" t="n"/>
      <c r="I143" s="2" t="n"/>
      <c r="J143" s="2" t="n"/>
      <c r="K143" s="2" t="n"/>
      <c r="L143" s="2">
        <f>IF($D143="","",TRIM(IF(COUNTIF($D$2:$D$300,$D143)&gt;1,"重复IP ","")&amp;IF(COUNTIF('网关清单'!$B$2:$B$60,$D143)&gt;0,"撞网关 ","")&amp;IF(AND(COUNTIF($D$2:$D$300,$D143)=1,COUNTIF('网关清单'!$B$2:$B$60,$D143)=0),"OK","")))</f>
        <v/>
      </c>
      <c r="M143" s="2" t="n"/>
    </row>
    <row r="144">
      <c r="A144" s="2">
        <f>IF($D144="","",ROW()-1)</f>
        <v/>
      </c>
      <c r="B144" s="2" t="n"/>
      <c r="C144" s="2" t="n"/>
      <c r="D144" s="2" t="n"/>
      <c r="E144" s="2" t="n"/>
      <c r="F144" s="2">
        <f>IF($D144="","",MID($D144,1,FIND("|",SUBSTITUTE($D144,".","|",3))-1)&amp;".x")</f>
        <v/>
      </c>
      <c r="G144" s="2" t="n"/>
      <c r="H144" s="2" t="n"/>
      <c r="I144" s="2" t="n"/>
      <c r="J144" s="2" t="n"/>
      <c r="K144" s="2" t="n"/>
      <c r="L144" s="2">
        <f>IF($D144="","",TRIM(IF(COUNTIF($D$2:$D$300,$D144)&gt;1,"重复IP ","")&amp;IF(COUNTIF('网关清单'!$B$2:$B$60,$D144)&gt;0,"撞网关 ","")&amp;IF(AND(COUNTIF($D$2:$D$300,$D144)=1,COUNTIF('网关清单'!$B$2:$B$60,$D144)=0),"OK","")))</f>
        <v/>
      </c>
      <c r="M144" s="2" t="n"/>
    </row>
    <row r="145">
      <c r="A145" s="2">
        <f>IF($D145="","",ROW()-1)</f>
        <v/>
      </c>
      <c r="B145" s="2" t="n"/>
      <c r="C145" s="2" t="n"/>
      <c r="D145" s="2" t="n"/>
      <c r="E145" s="2" t="n"/>
      <c r="F145" s="2">
        <f>IF($D145="","",MID($D145,1,FIND("|",SUBSTITUTE($D145,".","|",3))-1)&amp;".x")</f>
        <v/>
      </c>
      <c r="G145" s="2" t="n"/>
      <c r="H145" s="2" t="n"/>
      <c r="I145" s="2" t="n"/>
      <c r="J145" s="2" t="n"/>
      <c r="K145" s="2" t="n"/>
      <c r="L145" s="2">
        <f>IF($D145="","",TRIM(IF(COUNTIF($D$2:$D$300,$D145)&gt;1,"重复IP ","")&amp;IF(COUNTIF('网关清单'!$B$2:$B$60,$D145)&gt;0,"撞网关 ","")&amp;IF(AND(COUNTIF($D$2:$D$300,$D145)=1,COUNTIF('网关清单'!$B$2:$B$60,$D145)=0),"OK","")))</f>
        <v/>
      </c>
      <c r="M145" s="2" t="n"/>
    </row>
    <row r="146">
      <c r="A146" s="2">
        <f>IF($D146="","",ROW()-1)</f>
        <v/>
      </c>
      <c r="B146" s="2" t="n"/>
      <c r="C146" s="2" t="n"/>
      <c r="D146" s="2" t="n"/>
      <c r="E146" s="2" t="n"/>
      <c r="F146" s="2">
        <f>IF($D146="","",MID($D146,1,FIND("|",SUBSTITUTE($D146,".","|",3))-1)&amp;".x")</f>
        <v/>
      </c>
      <c r="G146" s="2" t="n"/>
      <c r="H146" s="2" t="n"/>
      <c r="I146" s="2" t="n"/>
      <c r="J146" s="2" t="n"/>
      <c r="K146" s="2" t="n"/>
      <c r="L146" s="2">
        <f>IF($D146="","",TRIM(IF(COUNTIF($D$2:$D$300,$D146)&gt;1,"重复IP ","")&amp;IF(COUNTIF('网关清单'!$B$2:$B$60,$D146)&gt;0,"撞网关 ","")&amp;IF(AND(COUNTIF($D$2:$D$300,$D146)=1,COUNTIF('网关清单'!$B$2:$B$60,$D146)=0),"OK","")))</f>
        <v/>
      </c>
      <c r="M146" s="2" t="n"/>
    </row>
    <row r="147">
      <c r="A147" s="2">
        <f>IF($D147="","",ROW()-1)</f>
        <v/>
      </c>
      <c r="B147" s="2" t="n"/>
      <c r="C147" s="2" t="n"/>
      <c r="D147" s="2" t="n"/>
      <c r="E147" s="2" t="n"/>
      <c r="F147" s="2">
        <f>IF($D147="","",MID($D147,1,FIND("|",SUBSTITUTE($D147,".","|",3))-1)&amp;".x")</f>
        <v/>
      </c>
      <c r="G147" s="2" t="n"/>
      <c r="H147" s="2" t="n"/>
      <c r="I147" s="2" t="n"/>
      <c r="J147" s="2" t="n"/>
      <c r="K147" s="2" t="n"/>
      <c r="L147" s="2">
        <f>IF($D147="","",TRIM(IF(COUNTIF($D$2:$D$300,$D147)&gt;1,"重复IP ","")&amp;IF(COUNTIF('网关清单'!$B$2:$B$60,$D147)&gt;0,"撞网关 ","")&amp;IF(AND(COUNTIF($D$2:$D$300,$D147)=1,COUNTIF('网关清单'!$B$2:$B$60,$D147)=0),"OK","")))</f>
        <v/>
      </c>
      <c r="M147" s="2" t="n"/>
    </row>
    <row r="148">
      <c r="A148" s="2">
        <f>IF($D148="","",ROW()-1)</f>
        <v/>
      </c>
      <c r="B148" s="2" t="n"/>
      <c r="C148" s="2" t="n"/>
      <c r="D148" s="2" t="n"/>
      <c r="E148" s="2" t="n"/>
      <c r="F148" s="2">
        <f>IF($D148="","",MID($D148,1,FIND("|",SUBSTITUTE($D148,".","|",3))-1)&amp;".x")</f>
        <v/>
      </c>
      <c r="G148" s="2" t="n"/>
      <c r="H148" s="2" t="n"/>
      <c r="I148" s="2" t="n"/>
      <c r="J148" s="2" t="n"/>
      <c r="K148" s="2" t="n"/>
      <c r="L148" s="2">
        <f>IF($D148="","",TRIM(IF(COUNTIF($D$2:$D$300,$D148)&gt;1,"重复IP ","")&amp;IF(COUNTIF('网关清单'!$B$2:$B$60,$D148)&gt;0,"撞网关 ","")&amp;IF(AND(COUNTIF($D$2:$D$300,$D148)=1,COUNTIF('网关清单'!$B$2:$B$60,$D148)=0),"OK","")))</f>
        <v/>
      </c>
      <c r="M148" s="2" t="n"/>
    </row>
    <row r="149">
      <c r="A149" s="2">
        <f>IF($D149="","",ROW()-1)</f>
        <v/>
      </c>
      <c r="B149" s="2" t="n"/>
      <c r="C149" s="2" t="n"/>
      <c r="D149" s="2" t="n"/>
      <c r="E149" s="2" t="n"/>
      <c r="F149" s="2">
        <f>IF($D149="","",MID($D149,1,FIND("|",SUBSTITUTE($D149,".","|",3))-1)&amp;".x")</f>
        <v/>
      </c>
      <c r="G149" s="2" t="n"/>
      <c r="H149" s="2" t="n"/>
      <c r="I149" s="2" t="n"/>
      <c r="J149" s="2" t="n"/>
      <c r="K149" s="2" t="n"/>
      <c r="L149" s="2">
        <f>IF($D149="","",TRIM(IF(COUNTIF($D$2:$D$300,$D149)&gt;1,"重复IP ","")&amp;IF(COUNTIF('网关清单'!$B$2:$B$60,$D149)&gt;0,"撞网关 ","")&amp;IF(AND(COUNTIF($D$2:$D$300,$D149)=1,COUNTIF('网关清单'!$B$2:$B$60,$D149)=0),"OK","")))</f>
        <v/>
      </c>
      <c r="M149" s="2" t="n"/>
    </row>
    <row r="150">
      <c r="A150" s="2">
        <f>IF($D150="","",ROW()-1)</f>
        <v/>
      </c>
      <c r="B150" s="2" t="n"/>
      <c r="C150" s="2" t="n"/>
      <c r="D150" s="2" t="n"/>
      <c r="E150" s="2" t="n"/>
      <c r="F150" s="2">
        <f>IF($D150="","",MID($D150,1,FIND("|",SUBSTITUTE($D150,".","|",3))-1)&amp;".x")</f>
        <v/>
      </c>
      <c r="G150" s="2" t="n"/>
      <c r="H150" s="2" t="n"/>
      <c r="I150" s="2" t="n"/>
      <c r="J150" s="2" t="n"/>
      <c r="K150" s="2" t="n"/>
      <c r="L150" s="2">
        <f>IF($D150="","",TRIM(IF(COUNTIF($D$2:$D$300,$D150)&gt;1,"重复IP ","")&amp;IF(COUNTIF('网关清单'!$B$2:$B$60,$D150)&gt;0,"撞网关 ","")&amp;IF(AND(COUNTIF($D$2:$D$300,$D150)=1,COUNTIF('网关清单'!$B$2:$B$60,$D150)=0),"OK","")))</f>
        <v/>
      </c>
      <c r="M150" s="2" t="n"/>
    </row>
    <row r="151">
      <c r="A151" s="2">
        <f>IF($D151="","",ROW()-1)</f>
        <v/>
      </c>
      <c r="B151" s="2" t="n"/>
      <c r="C151" s="2" t="n"/>
      <c r="D151" s="2" t="n"/>
      <c r="E151" s="2" t="n"/>
      <c r="F151" s="2">
        <f>IF($D151="","",MID($D151,1,FIND("|",SUBSTITUTE($D151,".","|",3))-1)&amp;".x")</f>
        <v/>
      </c>
      <c r="G151" s="2" t="n"/>
      <c r="H151" s="2" t="n"/>
      <c r="I151" s="2" t="n"/>
      <c r="J151" s="2" t="n"/>
      <c r="K151" s="2" t="n"/>
      <c r="L151" s="2">
        <f>IF($D151="","",TRIM(IF(COUNTIF($D$2:$D$300,$D151)&gt;1,"重复IP ","")&amp;IF(COUNTIF('网关清单'!$B$2:$B$60,$D151)&gt;0,"撞网关 ","")&amp;IF(AND(COUNTIF($D$2:$D$300,$D151)=1,COUNTIF('网关清单'!$B$2:$B$60,$D151)=0),"OK","")))</f>
        <v/>
      </c>
      <c r="M151" s="2" t="n"/>
    </row>
    <row r="152">
      <c r="A152" s="2">
        <f>IF($D152="","",ROW()-1)</f>
        <v/>
      </c>
      <c r="B152" s="2" t="n"/>
      <c r="C152" s="2" t="n"/>
      <c r="D152" s="2" t="n"/>
      <c r="E152" s="2" t="n"/>
      <c r="F152" s="2">
        <f>IF($D152="","",MID($D152,1,FIND("|",SUBSTITUTE($D152,".","|",3))-1)&amp;".x")</f>
        <v/>
      </c>
      <c r="G152" s="2" t="n"/>
      <c r="H152" s="2" t="n"/>
      <c r="I152" s="2" t="n"/>
      <c r="J152" s="2" t="n"/>
      <c r="K152" s="2" t="n"/>
      <c r="L152" s="2">
        <f>IF($D152="","",TRIM(IF(COUNTIF($D$2:$D$300,$D152)&gt;1,"重复IP ","")&amp;IF(COUNTIF('网关清单'!$B$2:$B$60,$D152)&gt;0,"撞网关 ","")&amp;IF(AND(COUNTIF($D$2:$D$300,$D152)=1,COUNTIF('网关清单'!$B$2:$B$60,$D152)=0),"OK","")))</f>
        <v/>
      </c>
      <c r="M152" s="2" t="n"/>
    </row>
    <row r="153">
      <c r="A153" s="2">
        <f>IF($D153="","",ROW()-1)</f>
        <v/>
      </c>
      <c r="B153" s="2" t="n"/>
      <c r="C153" s="2" t="n"/>
      <c r="D153" s="2" t="n"/>
      <c r="E153" s="2" t="n"/>
      <c r="F153" s="2">
        <f>IF($D153="","",MID($D153,1,FIND("|",SUBSTITUTE($D153,".","|",3))-1)&amp;".x")</f>
        <v/>
      </c>
      <c r="G153" s="2" t="n"/>
      <c r="H153" s="2" t="n"/>
      <c r="I153" s="2" t="n"/>
      <c r="J153" s="2" t="n"/>
      <c r="K153" s="2" t="n"/>
      <c r="L153" s="2">
        <f>IF($D153="","",TRIM(IF(COUNTIF($D$2:$D$300,$D153)&gt;1,"重复IP ","")&amp;IF(COUNTIF('网关清单'!$B$2:$B$60,$D153)&gt;0,"撞网关 ","")&amp;IF(AND(COUNTIF($D$2:$D$300,$D153)=1,COUNTIF('网关清单'!$B$2:$B$60,$D153)=0),"OK","")))</f>
        <v/>
      </c>
      <c r="M153" s="2" t="n"/>
    </row>
    <row r="154">
      <c r="A154" s="2">
        <f>IF($D154="","",ROW()-1)</f>
        <v/>
      </c>
      <c r="B154" s="2" t="n"/>
      <c r="C154" s="2" t="n"/>
      <c r="D154" s="2" t="n"/>
      <c r="E154" s="2" t="n"/>
      <c r="F154" s="2">
        <f>IF($D154="","",MID($D154,1,FIND("|",SUBSTITUTE($D154,".","|",3))-1)&amp;".x")</f>
        <v/>
      </c>
      <c r="G154" s="2" t="n"/>
      <c r="H154" s="2" t="n"/>
      <c r="I154" s="2" t="n"/>
      <c r="J154" s="2" t="n"/>
      <c r="K154" s="2" t="n"/>
      <c r="L154" s="2">
        <f>IF($D154="","",TRIM(IF(COUNTIF($D$2:$D$300,$D154)&gt;1,"重复IP ","")&amp;IF(COUNTIF('网关清单'!$B$2:$B$60,$D154)&gt;0,"撞网关 ","")&amp;IF(AND(COUNTIF($D$2:$D$300,$D154)=1,COUNTIF('网关清单'!$B$2:$B$60,$D154)=0),"OK","")))</f>
        <v/>
      </c>
      <c r="M154" s="2" t="n"/>
    </row>
    <row r="155">
      <c r="A155" s="2">
        <f>IF($D155="","",ROW()-1)</f>
        <v/>
      </c>
      <c r="B155" s="2" t="n"/>
      <c r="C155" s="2" t="n"/>
      <c r="D155" s="2" t="n"/>
      <c r="E155" s="2" t="n"/>
      <c r="F155" s="2">
        <f>IF($D155="","",MID($D155,1,FIND("|",SUBSTITUTE($D155,".","|",3))-1)&amp;".x")</f>
        <v/>
      </c>
      <c r="G155" s="2" t="n"/>
      <c r="H155" s="2" t="n"/>
      <c r="I155" s="2" t="n"/>
      <c r="J155" s="2" t="n"/>
      <c r="K155" s="2" t="n"/>
      <c r="L155" s="2">
        <f>IF($D155="","",TRIM(IF(COUNTIF($D$2:$D$300,$D155)&gt;1,"重复IP ","")&amp;IF(COUNTIF('网关清单'!$B$2:$B$60,$D155)&gt;0,"撞网关 ","")&amp;IF(AND(COUNTIF($D$2:$D$300,$D155)=1,COUNTIF('网关清单'!$B$2:$B$60,$D155)=0),"OK","")))</f>
        <v/>
      </c>
      <c r="M155" s="2" t="n"/>
    </row>
    <row r="156">
      <c r="A156" s="2">
        <f>IF($D156="","",ROW()-1)</f>
        <v/>
      </c>
      <c r="B156" s="2" t="n"/>
      <c r="C156" s="2" t="n"/>
      <c r="D156" s="2" t="n"/>
      <c r="E156" s="2" t="n"/>
      <c r="F156" s="2">
        <f>IF($D156="","",MID($D156,1,FIND("|",SUBSTITUTE($D156,".","|",3))-1)&amp;".x")</f>
        <v/>
      </c>
      <c r="G156" s="2" t="n"/>
      <c r="H156" s="2" t="n"/>
      <c r="I156" s="2" t="n"/>
      <c r="J156" s="2" t="n"/>
      <c r="K156" s="2" t="n"/>
      <c r="L156" s="2">
        <f>IF($D156="","",TRIM(IF(COUNTIF($D$2:$D$300,$D156)&gt;1,"重复IP ","")&amp;IF(COUNTIF('网关清单'!$B$2:$B$60,$D156)&gt;0,"撞网关 ","")&amp;IF(AND(COUNTIF($D$2:$D$300,$D156)=1,COUNTIF('网关清单'!$B$2:$B$60,$D156)=0),"OK","")))</f>
        <v/>
      </c>
      <c r="M156" s="2" t="n"/>
    </row>
    <row r="157">
      <c r="A157" s="2">
        <f>IF($D157="","",ROW()-1)</f>
        <v/>
      </c>
      <c r="B157" s="2" t="n"/>
      <c r="C157" s="2" t="n"/>
      <c r="D157" s="2" t="n"/>
      <c r="E157" s="2" t="n"/>
      <c r="F157" s="2">
        <f>IF($D157="","",MID($D157,1,FIND("|",SUBSTITUTE($D157,".","|",3))-1)&amp;".x")</f>
        <v/>
      </c>
      <c r="G157" s="2" t="n"/>
      <c r="H157" s="2" t="n"/>
      <c r="I157" s="2" t="n"/>
      <c r="J157" s="2" t="n"/>
      <c r="K157" s="2" t="n"/>
      <c r="L157" s="2">
        <f>IF($D157="","",TRIM(IF(COUNTIF($D$2:$D$300,$D157)&gt;1,"重复IP ","")&amp;IF(COUNTIF('网关清单'!$B$2:$B$60,$D157)&gt;0,"撞网关 ","")&amp;IF(AND(COUNTIF($D$2:$D$300,$D157)=1,COUNTIF('网关清单'!$B$2:$B$60,$D157)=0),"OK","")))</f>
        <v/>
      </c>
      <c r="M157" s="2" t="n"/>
    </row>
    <row r="158">
      <c r="A158" s="2">
        <f>IF($D158="","",ROW()-1)</f>
        <v/>
      </c>
      <c r="B158" s="2" t="n"/>
      <c r="C158" s="2" t="n"/>
      <c r="D158" s="2" t="n"/>
      <c r="E158" s="2" t="n"/>
      <c r="F158" s="2">
        <f>IF($D158="","",MID($D158,1,FIND("|",SUBSTITUTE($D158,".","|",3))-1)&amp;".x")</f>
        <v/>
      </c>
      <c r="G158" s="2" t="n"/>
      <c r="H158" s="2" t="n"/>
      <c r="I158" s="2" t="n"/>
      <c r="J158" s="2" t="n"/>
      <c r="K158" s="2" t="n"/>
      <c r="L158" s="2">
        <f>IF($D158="","",TRIM(IF(COUNTIF($D$2:$D$300,$D158)&gt;1,"重复IP ","")&amp;IF(COUNTIF('网关清单'!$B$2:$B$60,$D158)&gt;0,"撞网关 ","")&amp;IF(AND(COUNTIF($D$2:$D$300,$D158)=1,COUNTIF('网关清单'!$B$2:$B$60,$D158)=0),"OK","")))</f>
        <v/>
      </c>
      <c r="M158" s="2" t="n"/>
    </row>
    <row r="159">
      <c r="A159" s="2">
        <f>IF($D159="","",ROW()-1)</f>
        <v/>
      </c>
      <c r="B159" s="2" t="n"/>
      <c r="C159" s="2" t="n"/>
      <c r="D159" s="2" t="n"/>
      <c r="E159" s="2" t="n"/>
      <c r="F159" s="2">
        <f>IF($D159="","",MID($D159,1,FIND("|",SUBSTITUTE($D159,".","|",3))-1)&amp;".x")</f>
        <v/>
      </c>
      <c r="G159" s="2" t="n"/>
      <c r="H159" s="2" t="n"/>
      <c r="I159" s="2" t="n"/>
      <c r="J159" s="2" t="n"/>
      <c r="K159" s="2" t="n"/>
      <c r="L159" s="2">
        <f>IF($D159="","",TRIM(IF(COUNTIF($D$2:$D$300,$D159)&gt;1,"重复IP ","")&amp;IF(COUNTIF('网关清单'!$B$2:$B$60,$D159)&gt;0,"撞网关 ","")&amp;IF(AND(COUNTIF($D$2:$D$300,$D159)=1,COUNTIF('网关清单'!$B$2:$B$60,$D159)=0),"OK","")))</f>
        <v/>
      </c>
      <c r="M159" s="2" t="n"/>
    </row>
    <row r="160">
      <c r="A160" s="2">
        <f>IF($D160="","",ROW()-1)</f>
        <v/>
      </c>
      <c r="B160" s="2" t="n"/>
      <c r="C160" s="2" t="n"/>
      <c r="D160" s="2" t="n"/>
      <c r="E160" s="2" t="n"/>
      <c r="F160" s="2">
        <f>IF($D160="","",MID($D160,1,FIND("|",SUBSTITUTE($D160,".","|",3))-1)&amp;".x")</f>
        <v/>
      </c>
      <c r="G160" s="2" t="n"/>
      <c r="H160" s="2" t="n"/>
      <c r="I160" s="2" t="n"/>
      <c r="J160" s="2" t="n"/>
      <c r="K160" s="2" t="n"/>
      <c r="L160" s="2">
        <f>IF($D160="","",TRIM(IF(COUNTIF($D$2:$D$300,$D160)&gt;1,"重复IP ","")&amp;IF(COUNTIF('网关清单'!$B$2:$B$60,$D160)&gt;0,"撞网关 ","")&amp;IF(AND(COUNTIF($D$2:$D$300,$D160)=1,COUNTIF('网关清单'!$B$2:$B$60,$D160)=0),"OK","")))</f>
        <v/>
      </c>
      <c r="M160" s="2" t="n"/>
    </row>
    <row r="161">
      <c r="A161" s="2">
        <f>IF($D161="","",ROW()-1)</f>
        <v/>
      </c>
      <c r="B161" s="2" t="n"/>
      <c r="C161" s="2" t="n"/>
      <c r="D161" s="2" t="n"/>
      <c r="E161" s="2" t="n"/>
      <c r="F161" s="2">
        <f>IF($D161="","",MID($D161,1,FIND("|",SUBSTITUTE($D161,".","|",3))-1)&amp;".x")</f>
        <v/>
      </c>
      <c r="G161" s="2" t="n"/>
      <c r="H161" s="2" t="n"/>
      <c r="I161" s="2" t="n"/>
      <c r="J161" s="2" t="n"/>
      <c r="K161" s="2" t="n"/>
      <c r="L161" s="2">
        <f>IF($D161="","",TRIM(IF(COUNTIF($D$2:$D$300,$D161)&gt;1,"重复IP ","")&amp;IF(COUNTIF('网关清单'!$B$2:$B$60,$D161)&gt;0,"撞网关 ","")&amp;IF(AND(COUNTIF($D$2:$D$300,$D161)=1,COUNTIF('网关清单'!$B$2:$B$60,$D161)=0),"OK","")))</f>
        <v/>
      </c>
      <c r="M161" s="2" t="n"/>
    </row>
    <row r="162">
      <c r="A162" s="2">
        <f>IF($D162="","",ROW()-1)</f>
        <v/>
      </c>
      <c r="B162" s="2" t="n"/>
      <c r="C162" s="2" t="n"/>
      <c r="D162" s="2" t="n"/>
      <c r="E162" s="2" t="n"/>
      <c r="F162" s="2">
        <f>IF($D162="","",MID($D162,1,FIND("|",SUBSTITUTE($D162,".","|",3))-1)&amp;".x")</f>
        <v/>
      </c>
      <c r="G162" s="2" t="n"/>
      <c r="H162" s="2" t="n"/>
      <c r="I162" s="2" t="n"/>
      <c r="J162" s="2" t="n"/>
      <c r="K162" s="2" t="n"/>
      <c r="L162" s="2">
        <f>IF($D162="","",TRIM(IF(COUNTIF($D$2:$D$300,$D162)&gt;1,"重复IP ","")&amp;IF(COUNTIF('网关清单'!$B$2:$B$60,$D162)&gt;0,"撞网关 ","")&amp;IF(AND(COUNTIF($D$2:$D$300,$D162)=1,COUNTIF('网关清单'!$B$2:$B$60,$D162)=0),"OK","")))</f>
        <v/>
      </c>
      <c r="M162" s="2" t="n"/>
    </row>
    <row r="163">
      <c r="A163" s="2">
        <f>IF($D163="","",ROW()-1)</f>
        <v/>
      </c>
      <c r="B163" s="2" t="n"/>
      <c r="C163" s="2" t="n"/>
      <c r="D163" s="2" t="n"/>
      <c r="E163" s="2" t="n"/>
      <c r="F163" s="2">
        <f>IF($D163="","",MID($D163,1,FIND("|",SUBSTITUTE($D163,".","|",3))-1)&amp;".x")</f>
        <v/>
      </c>
      <c r="G163" s="2" t="n"/>
      <c r="H163" s="2" t="n"/>
      <c r="I163" s="2" t="n"/>
      <c r="J163" s="2" t="n"/>
      <c r="K163" s="2" t="n"/>
      <c r="L163" s="2">
        <f>IF($D163="","",TRIM(IF(COUNTIF($D$2:$D$300,$D163)&gt;1,"重复IP ","")&amp;IF(COUNTIF('网关清单'!$B$2:$B$60,$D163)&gt;0,"撞网关 ","")&amp;IF(AND(COUNTIF($D$2:$D$300,$D163)=1,COUNTIF('网关清单'!$B$2:$B$60,$D163)=0),"OK","")))</f>
        <v/>
      </c>
      <c r="M163" s="2" t="n"/>
    </row>
    <row r="164">
      <c r="A164" s="2">
        <f>IF($D164="","",ROW()-1)</f>
        <v/>
      </c>
      <c r="B164" s="2" t="n"/>
      <c r="C164" s="2" t="n"/>
      <c r="D164" s="2" t="n"/>
      <c r="E164" s="2" t="n"/>
      <c r="F164" s="2">
        <f>IF($D164="","",MID($D164,1,FIND("|",SUBSTITUTE($D164,".","|",3))-1)&amp;".x")</f>
        <v/>
      </c>
      <c r="G164" s="2" t="n"/>
      <c r="H164" s="2" t="n"/>
      <c r="I164" s="2" t="n"/>
      <c r="J164" s="2" t="n"/>
      <c r="K164" s="2" t="n"/>
      <c r="L164" s="2">
        <f>IF($D164="","",TRIM(IF(COUNTIF($D$2:$D$300,$D164)&gt;1,"重复IP ","")&amp;IF(COUNTIF('网关清单'!$B$2:$B$60,$D164)&gt;0,"撞网关 ","")&amp;IF(AND(COUNTIF($D$2:$D$300,$D164)=1,COUNTIF('网关清单'!$B$2:$B$60,$D164)=0),"OK","")))</f>
        <v/>
      </c>
      <c r="M164" s="2" t="n"/>
    </row>
    <row r="165">
      <c r="A165" s="2">
        <f>IF($D165="","",ROW()-1)</f>
        <v/>
      </c>
      <c r="B165" s="2" t="n"/>
      <c r="C165" s="2" t="n"/>
      <c r="D165" s="2" t="n"/>
      <c r="E165" s="2" t="n"/>
      <c r="F165" s="2">
        <f>IF($D165="","",MID($D165,1,FIND("|",SUBSTITUTE($D165,".","|",3))-1)&amp;".x")</f>
        <v/>
      </c>
      <c r="G165" s="2" t="n"/>
      <c r="H165" s="2" t="n"/>
      <c r="I165" s="2" t="n"/>
      <c r="J165" s="2" t="n"/>
      <c r="K165" s="2" t="n"/>
      <c r="L165" s="2">
        <f>IF($D165="","",TRIM(IF(COUNTIF($D$2:$D$300,$D165)&gt;1,"重复IP ","")&amp;IF(COUNTIF('网关清单'!$B$2:$B$60,$D165)&gt;0,"撞网关 ","")&amp;IF(AND(COUNTIF($D$2:$D$300,$D165)=1,COUNTIF('网关清单'!$B$2:$B$60,$D165)=0),"OK","")))</f>
        <v/>
      </c>
      <c r="M165" s="2" t="n"/>
    </row>
    <row r="166">
      <c r="A166" s="2">
        <f>IF($D166="","",ROW()-1)</f>
        <v/>
      </c>
      <c r="B166" s="2" t="n"/>
      <c r="C166" s="2" t="n"/>
      <c r="D166" s="2" t="n"/>
      <c r="E166" s="2" t="n"/>
      <c r="F166" s="2">
        <f>IF($D166="","",MID($D166,1,FIND("|",SUBSTITUTE($D166,".","|",3))-1)&amp;".x")</f>
        <v/>
      </c>
      <c r="G166" s="2" t="n"/>
      <c r="H166" s="2" t="n"/>
      <c r="I166" s="2" t="n"/>
      <c r="J166" s="2" t="n"/>
      <c r="K166" s="2" t="n"/>
      <c r="L166" s="2">
        <f>IF($D166="","",TRIM(IF(COUNTIF($D$2:$D$300,$D166)&gt;1,"重复IP ","")&amp;IF(COUNTIF('网关清单'!$B$2:$B$60,$D166)&gt;0,"撞网关 ","")&amp;IF(AND(COUNTIF($D$2:$D$300,$D166)=1,COUNTIF('网关清单'!$B$2:$B$60,$D166)=0),"OK","")))</f>
        <v/>
      </c>
      <c r="M166" s="2" t="n"/>
    </row>
    <row r="167">
      <c r="A167" s="2">
        <f>IF($D167="","",ROW()-1)</f>
        <v/>
      </c>
      <c r="B167" s="2" t="n"/>
      <c r="C167" s="2" t="n"/>
      <c r="D167" s="2" t="n"/>
      <c r="E167" s="2" t="n"/>
      <c r="F167" s="2">
        <f>IF($D167="","",MID($D167,1,FIND("|",SUBSTITUTE($D167,".","|",3))-1)&amp;".x")</f>
        <v/>
      </c>
      <c r="G167" s="2" t="n"/>
      <c r="H167" s="2" t="n"/>
      <c r="I167" s="2" t="n"/>
      <c r="J167" s="2" t="n"/>
      <c r="K167" s="2" t="n"/>
      <c r="L167" s="2">
        <f>IF($D167="","",TRIM(IF(COUNTIF($D$2:$D$300,$D167)&gt;1,"重复IP ","")&amp;IF(COUNTIF('网关清单'!$B$2:$B$60,$D167)&gt;0,"撞网关 ","")&amp;IF(AND(COUNTIF($D$2:$D$300,$D167)=1,COUNTIF('网关清单'!$B$2:$B$60,$D167)=0),"OK","")))</f>
        <v/>
      </c>
      <c r="M167" s="2" t="n"/>
    </row>
    <row r="168">
      <c r="A168" s="2">
        <f>IF($D168="","",ROW()-1)</f>
        <v/>
      </c>
      <c r="B168" s="2" t="n"/>
      <c r="C168" s="2" t="n"/>
      <c r="D168" s="2" t="n"/>
      <c r="E168" s="2" t="n"/>
      <c r="F168" s="2">
        <f>IF($D168="","",MID($D168,1,FIND("|",SUBSTITUTE($D168,".","|",3))-1)&amp;".x")</f>
        <v/>
      </c>
      <c r="G168" s="2" t="n"/>
      <c r="H168" s="2" t="n"/>
      <c r="I168" s="2" t="n"/>
      <c r="J168" s="2" t="n"/>
      <c r="K168" s="2" t="n"/>
      <c r="L168" s="2">
        <f>IF($D168="","",TRIM(IF(COUNTIF($D$2:$D$300,$D168)&gt;1,"重复IP ","")&amp;IF(COUNTIF('网关清单'!$B$2:$B$60,$D168)&gt;0,"撞网关 ","")&amp;IF(AND(COUNTIF($D$2:$D$300,$D168)=1,COUNTIF('网关清单'!$B$2:$B$60,$D168)=0),"OK","")))</f>
        <v/>
      </c>
      <c r="M168" s="2" t="n"/>
    </row>
    <row r="169">
      <c r="A169" s="2">
        <f>IF($D169="","",ROW()-1)</f>
        <v/>
      </c>
      <c r="B169" s="2" t="n"/>
      <c r="C169" s="2" t="n"/>
      <c r="D169" s="2" t="n"/>
      <c r="E169" s="2" t="n"/>
      <c r="F169" s="2">
        <f>IF($D169="","",MID($D169,1,FIND("|",SUBSTITUTE($D169,".","|",3))-1)&amp;".x")</f>
        <v/>
      </c>
      <c r="G169" s="2" t="n"/>
      <c r="H169" s="2" t="n"/>
      <c r="I169" s="2" t="n"/>
      <c r="J169" s="2" t="n"/>
      <c r="K169" s="2" t="n"/>
      <c r="L169" s="2">
        <f>IF($D169="","",TRIM(IF(COUNTIF($D$2:$D$300,$D169)&gt;1,"重复IP ","")&amp;IF(COUNTIF('网关清单'!$B$2:$B$60,$D169)&gt;0,"撞网关 ","")&amp;IF(AND(COUNTIF($D$2:$D$300,$D169)=1,COUNTIF('网关清单'!$B$2:$B$60,$D169)=0),"OK","")))</f>
        <v/>
      </c>
      <c r="M169" s="2" t="n"/>
    </row>
    <row r="170">
      <c r="A170" s="2">
        <f>IF($D170="","",ROW()-1)</f>
        <v/>
      </c>
      <c r="B170" s="2" t="n"/>
      <c r="C170" s="2" t="n"/>
      <c r="D170" s="2" t="n"/>
      <c r="E170" s="2" t="n"/>
      <c r="F170" s="2">
        <f>IF($D170="","",MID($D170,1,FIND("|",SUBSTITUTE($D170,".","|",3))-1)&amp;".x")</f>
        <v/>
      </c>
      <c r="G170" s="2" t="n"/>
      <c r="H170" s="2" t="n"/>
      <c r="I170" s="2" t="n"/>
      <c r="J170" s="2" t="n"/>
      <c r="K170" s="2" t="n"/>
      <c r="L170" s="2">
        <f>IF($D170="","",TRIM(IF(COUNTIF($D$2:$D$300,$D170)&gt;1,"重复IP ","")&amp;IF(COUNTIF('网关清单'!$B$2:$B$60,$D170)&gt;0,"撞网关 ","")&amp;IF(AND(COUNTIF($D$2:$D$300,$D170)=1,COUNTIF('网关清单'!$B$2:$B$60,$D170)=0),"OK","")))</f>
        <v/>
      </c>
      <c r="M170" s="2" t="n"/>
    </row>
    <row r="171">
      <c r="A171" s="2">
        <f>IF($D171="","",ROW()-1)</f>
        <v/>
      </c>
      <c r="B171" s="2" t="n"/>
      <c r="C171" s="2" t="n"/>
      <c r="D171" s="2" t="n"/>
      <c r="E171" s="2" t="n"/>
      <c r="F171" s="2">
        <f>IF($D171="","",MID($D171,1,FIND("|",SUBSTITUTE($D171,".","|",3))-1)&amp;".x")</f>
        <v/>
      </c>
      <c r="G171" s="2" t="n"/>
      <c r="H171" s="2" t="n"/>
      <c r="I171" s="2" t="n"/>
      <c r="J171" s="2" t="n"/>
      <c r="K171" s="2" t="n"/>
      <c r="L171" s="2">
        <f>IF($D171="","",TRIM(IF(COUNTIF($D$2:$D$300,$D171)&gt;1,"重复IP ","")&amp;IF(COUNTIF('网关清单'!$B$2:$B$60,$D171)&gt;0,"撞网关 ","")&amp;IF(AND(COUNTIF($D$2:$D$300,$D171)=1,COUNTIF('网关清单'!$B$2:$B$60,$D171)=0),"OK","")))</f>
        <v/>
      </c>
      <c r="M171" s="2" t="n"/>
    </row>
    <row r="172">
      <c r="A172" s="2">
        <f>IF($D172="","",ROW()-1)</f>
        <v/>
      </c>
      <c r="B172" s="2" t="n"/>
      <c r="C172" s="2" t="n"/>
      <c r="D172" s="2" t="n"/>
      <c r="E172" s="2" t="n"/>
      <c r="F172" s="2">
        <f>IF($D172="","",MID($D172,1,FIND("|",SUBSTITUTE($D172,".","|",3))-1)&amp;".x")</f>
        <v/>
      </c>
      <c r="G172" s="2" t="n"/>
      <c r="H172" s="2" t="n"/>
      <c r="I172" s="2" t="n"/>
      <c r="J172" s="2" t="n"/>
      <c r="K172" s="2" t="n"/>
      <c r="L172" s="2">
        <f>IF($D172="","",TRIM(IF(COUNTIF($D$2:$D$300,$D172)&gt;1,"重复IP ","")&amp;IF(COUNTIF('网关清单'!$B$2:$B$60,$D172)&gt;0,"撞网关 ","")&amp;IF(AND(COUNTIF($D$2:$D$300,$D172)=1,COUNTIF('网关清单'!$B$2:$B$60,$D172)=0),"OK","")))</f>
        <v/>
      </c>
      <c r="M172" s="2" t="n"/>
    </row>
    <row r="173">
      <c r="A173" s="2">
        <f>IF($D173="","",ROW()-1)</f>
        <v/>
      </c>
      <c r="B173" s="2" t="n"/>
      <c r="C173" s="2" t="n"/>
      <c r="D173" s="2" t="n"/>
      <c r="E173" s="2" t="n"/>
      <c r="F173" s="2">
        <f>IF($D173="","",MID($D173,1,FIND("|",SUBSTITUTE($D173,".","|",3))-1)&amp;".x")</f>
        <v/>
      </c>
      <c r="G173" s="2" t="n"/>
      <c r="H173" s="2" t="n"/>
      <c r="I173" s="2" t="n"/>
      <c r="J173" s="2" t="n"/>
      <c r="K173" s="2" t="n"/>
      <c r="L173" s="2">
        <f>IF($D173="","",TRIM(IF(COUNTIF($D$2:$D$300,$D173)&gt;1,"重复IP ","")&amp;IF(COUNTIF('网关清单'!$B$2:$B$60,$D173)&gt;0,"撞网关 ","")&amp;IF(AND(COUNTIF($D$2:$D$300,$D173)=1,COUNTIF('网关清单'!$B$2:$B$60,$D173)=0),"OK","")))</f>
        <v/>
      </c>
      <c r="M173" s="2" t="n"/>
    </row>
    <row r="174">
      <c r="A174" s="2">
        <f>IF($D174="","",ROW()-1)</f>
        <v/>
      </c>
      <c r="B174" s="2" t="n"/>
      <c r="C174" s="2" t="n"/>
      <c r="D174" s="2" t="n"/>
      <c r="E174" s="2" t="n"/>
      <c r="F174" s="2">
        <f>IF($D174="","",MID($D174,1,FIND("|",SUBSTITUTE($D174,".","|",3))-1)&amp;".x")</f>
        <v/>
      </c>
      <c r="G174" s="2" t="n"/>
      <c r="H174" s="2" t="n"/>
      <c r="I174" s="2" t="n"/>
      <c r="J174" s="2" t="n"/>
      <c r="K174" s="2" t="n"/>
      <c r="L174" s="2">
        <f>IF($D174="","",TRIM(IF(COUNTIF($D$2:$D$300,$D174)&gt;1,"重复IP ","")&amp;IF(COUNTIF('网关清单'!$B$2:$B$60,$D174)&gt;0,"撞网关 ","")&amp;IF(AND(COUNTIF($D$2:$D$300,$D174)=1,COUNTIF('网关清单'!$B$2:$B$60,$D174)=0),"OK","")))</f>
        <v/>
      </c>
      <c r="M174" s="2" t="n"/>
    </row>
    <row r="175">
      <c r="A175" s="2">
        <f>IF($D175="","",ROW()-1)</f>
        <v/>
      </c>
      <c r="B175" s="2" t="n"/>
      <c r="C175" s="2" t="n"/>
      <c r="D175" s="2" t="n"/>
      <c r="E175" s="2" t="n"/>
      <c r="F175" s="2">
        <f>IF($D175="","",MID($D175,1,FIND("|",SUBSTITUTE($D175,".","|",3))-1)&amp;".x")</f>
        <v/>
      </c>
      <c r="G175" s="2" t="n"/>
      <c r="H175" s="2" t="n"/>
      <c r="I175" s="2" t="n"/>
      <c r="J175" s="2" t="n"/>
      <c r="K175" s="2" t="n"/>
      <c r="L175" s="2">
        <f>IF($D175="","",TRIM(IF(COUNTIF($D$2:$D$300,$D175)&gt;1,"重复IP ","")&amp;IF(COUNTIF('网关清单'!$B$2:$B$60,$D175)&gt;0,"撞网关 ","")&amp;IF(AND(COUNTIF($D$2:$D$300,$D175)=1,COUNTIF('网关清单'!$B$2:$B$60,$D175)=0),"OK","")))</f>
        <v/>
      </c>
      <c r="M175" s="2" t="n"/>
    </row>
    <row r="176">
      <c r="A176" s="2">
        <f>IF($D176="","",ROW()-1)</f>
        <v/>
      </c>
      <c r="B176" s="2" t="n"/>
      <c r="C176" s="2" t="n"/>
      <c r="D176" s="2" t="n"/>
      <c r="E176" s="2" t="n"/>
      <c r="F176" s="2">
        <f>IF($D176="","",MID($D176,1,FIND("|",SUBSTITUTE($D176,".","|",3))-1)&amp;".x")</f>
        <v/>
      </c>
      <c r="G176" s="2" t="n"/>
      <c r="H176" s="2" t="n"/>
      <c r="I176" s="2" t="n"/>
      <c r="J176" s="2" t="n"/>
      <c r="K176" s="2" t="n"/>
      <c r="L176" s="2">
        <f>IF($D176="","",TRIM(IF(COUNTIF($D$2:$D$300,$D176)&gt;1,"重复IP ","")&amp;IF(COUNTIF('网关清单'!$B$2:$B$60,$D176)&gt;0,"撞网关 ","")&amp;IF(AND(COUNTIF($D$2:$D$300,$D176)=1,COUNTIF('网关清单'!$B$2:$B$60,$D176)=0),"OK","")))</f>
        <v/>
      </c>
      <c r="M176" s="2" t="n"/>
    </row>
    <row r="177">
      <c r="A177" s="2">
        <f>IF($D177="","",ROW()-1)</f>
        <v/>
      </c>
      <c r="B177" s="2" t="n"/>
      <c r="C177" s="2" t="n"/>
      <c r="D177" s="2" t="n"/>
      <c r="E177" s="2" t="n"/>
      <c r="F177" s="2">
        <f>IF($D177="","",MID($D177,1,FIND("|",SUBSTITUTE($D177,".","|",3))-1)&amp;".x")</f>
        <v/>
      </c>
      <c r="G177" s="2" t="n"/>
      <c r="H177" s="2" t="n"/>
      <c r="I177" s="2" t="n"/>
      <c r="J177" s="2" t="n"/>
      <c r="K177" s="2" t="n"/>
      <c r="L177" s="2">
        <f>IF($D177="","",TRIM(IF(COUNTIF($D$2:$D$300,$D177)&gt;1,"重复IP ","")&amp;IF(COUNTIF('网关清单'!$B$2:$B$60,$D177)&gt;0,"撞网关 ","")&amp;IF(AND(COUNTIF($D$2:$D$300,$D177)=1,COUNTIF('网关清单'!$B$2:$B$60,$D177)=0),"OK","")))</f>
        <v/>
      </c>
      <c r="M177" s="2" t="n"/>
    </row>
    <row r="178">
      <c r="A178" s="2">
        <f>IF($D178="","",ROW()-1)</f>
        <v/>
      </c>
      <c r="B178" s="2" t="n"/>
      <c r="C178" s="2" t="n"/>
      <c r="D178" s="2" t="n"/>
      <c r="E178" s="2" t="n"/>
      <c r="F178" s="2">
        <f>IF($D178="","",MID($D178,1,FIND("|",SUBSTITUTE($D178,".","|",3))-1)&amp;".x")</f>
        <v/>
      </c>
      <c r="G178" s="2" t="n"/>
      <c r="H178" s="2" t="n"/>
      <c r="I178" s="2" t="n"/>
      <c r="J178" s="2" t="n"/>
      <c r="K178" s="2" t="n"/>
      <c r="L178" s="2">
        <f>IF($D178="","",TRIM(IF(COUNTIF($D$2:$D$300,$D178)&gt;1,"重复IP ","")&amp;IF(COUNTIF('网关清单'!$B$2:$B$60,$D178)&gt;0,"撞网关 ","")&amp;IF(AND(COUNTIF($D$2:$D$300,$D178)=1,COUNTIF('网关清单'!$B$2:$B$60,$D178)=0),"OK","")))</f>
        <v/>
      </c>
      <c r="M178" s="2" t="n"/>
    </row>
    <row r="179">
      <c r="A179" s="2">
        <f>IF($D179="","",ROW()-1)</f>
        <v/>
      </c>
      <c r="B179" s="2" t="n"/>
      <c r="C179" s="2" t="n"/>
      <c r="D179" s="2" t="n"/>
      <c r="E179" s="2" t="n"/>
      <c r="F179" s="2">
        <f>IF($D179="","",MID($D179,1,FIND("|",SUBSTITUTE($D179,".","|",3))-1)&amp;".x")</f>
        <v/>
      </c>
      <c r="G179" s="2" t="n"/>
      <c r="H179" s="2" t="n"/>
      <c r="I179" s="2" t="n"/>
      <c r="J179" s="2" t="n"/>
      <c r="K179" s="2" t="n"/>
      <c r="L179" s="2">
        <f>IF($D179="","",TRIM(IF(COUNTIF($D$2:$D$300,$D179)&gt;1,"重复IP ","")&amp;IF(COUNTIF('网关清单'!$B$2:$B$60,$D179)&gt;0,"撞网关 ","")&amp;IF(AND(COUNTIF($D$2:$D$300,$D179)=1,COUNTIF('网关清单'!$B$2:$B$60,$D179)=0),"OK","")))</f>
        <v/>
      </c>
      <c r="M179" s="2" t="n"/>
    </row>
    <row r="180">
      <c r="A180" s="2">
        <f>IF($D180="","",ROW()-1)</f>
        <v/>
      </c>
      <c r="B180" s="2" t="n"/>
      <c r="C180" s="2" t="n"/>
      <c r="D180" s="2" t="n"/>
      <c r="E180" s="2" t="n"/>
      <c r="F180" s="2">
        <f>IF($D180="","",MID($D180,1,FIND("|",SUBSTITUTE($D180,".","|",3))-1)&amp;".x")</f>
        <v/>
      </c>
      <c r="G180" s="2" t="n"/>
      <c r="H180" s="2" t="n"/>
      <c r="I180" s="2" t="n"/>
      <c r="J180" s="2" t="n"/>
      <c r="K180" s="2" t="n"/>
      <c r="L180" s="2">
        <f>IF($D180="","",TRIM(IF(COUNTIF($D$2:$D$300,$D180)&gt;1,"重复IP ","")&amp;IF(COUNTIF('网关清单'!$B$2:$B$60,$D180)&gt;0,"撞网关 ","")&amp;IF(AND(COUNTIF($D$2:$D$300,$D180)=1,COUNTIF('网关清单'!$B$2:$B$60,$D180)=0),"OK","")))</f>
        <v/>
      </c>
      <c r="M180" s="2" t="n"/>
    </row>
    <row r="181">
      <c r="A181" s="2">
        <f>IF($D181="","",ROW()-1)</f>
        <v/>
      </c>
      <c r="B181" s="2" t="n"/>
      <c r="C181" s="2" t="n"/>
      <c r="D181" s="2" t="n"/>
      <c r="E181" s="2" t="n"/>
      <c r="F181" s="2">
        <f>IF($D181="","",MID($D181,1,FIND("|",SUBSTITUTE($D181,".","|",3))-1)&amp;".x")</f>
        <v/>
      </c>
      <c r="G181" s="2" t="n"/>
      <c r="H181" s="2" t="n"/>
      <c r="I181" s="2" t="n"/>
      <c r="J181" s="2" t="n"/>
      <c r="K181" s="2" t="n"/>
      <c r="L181" s="2">
        <f>IF($D181="","",TRIM(IF(COUNTIF($D$2:$D$300,$D181)&gt;1,"重复IP ","")&amp;IF(COUNTIF('网关清单'!$B$2:$B$60,$D181)&gt;0,"撞网关 ","")&amp;IF(AND(COUNTIF($D$2:$D$300,$D181)=1,COUNTIF('网关清单'!$B$2:$B$60,$D181)=0),"OK","")))</f>
        <v/>
      </c>
      <c r="M181" s="2" t="n"/>
    </row>
    <row r="182">
      <c r="A182" s="2">
        <f>IF($D182="","",ROW()-1)</f>
        <v/>
      </c>
      <c r="B182" s="2" t="n"/>
      <c r="C182" s="2" t="n"/>
      <c r="D182" s="2" t="n"/>
      <c r="E182" s="2" t="n"/>
      <c r="F182" s="2">
        <f>IF($D182="","",MID($D182,1,FIND("|",SUBSTITUTE($D182,".","|",3))-1)&amp;".x")</f>
        <v/>
      </c>
      <c r="G182" s="2" t="n"/>
      <c r="H182" s="2" t="n"/>
      <c r="I182" s="2" t="n"/>
      <c r="J182" s="2" t="n"/>
      <c r="K182" s="2" t="n"/>
      <c r="L182" s="2">
        <f>IF($D182="","",TRIM(IF(COUNTIF($D$2:$D$300,$D182)&gt;1,"重复IP ","")&amp;IF(COUNTIF('网关清单'!$B$2:$B$60,$D182)&gt;0,"撞网关 ","")&amp;IF(AND(COUNTIF($D$2:$D$300,$D182)=1,COUNTIF('网关清单'!$B$2:$B$60,$D182)=0),"OK","")))</f>
        <v/>
      </c>
      <c r="M182" s="2" t="n"/>
    </row>
    <row r="183">
      <c r="A183" s="2">
        <f>IF($D183="","",ROW()-1)</f>
        <v/>
      </c>
      <c r="B183" s="2" t="n"/>
      <c r="C183" s="2" t="n"/>
      <c r="D183" s="2" t="n"/>
      <c r="E183" s="2" t="n"/>
      <c r="F183" s="2">
        <f>IF($D183="","",MID($D183,1,FIND("|",SUBSTITUTE($D183,".","|",3))-1)&amp;".x")</f>
        <v/>
      </c>
      <c r="G183" s="2" t="n"/>
      <c r="H183" s="2" t="n"/>
      <c r="I183" s="2" t="n"/>
      <c r="J183" s="2" t="n"/>
      <c r="K183" s="2" t="n"/>
      <c r="L183" s="2">
        <f>IF($D183="","",TRIM(IF(COUNTIF($D$2:$D$300,$D183)&gt;1,"重复IP ","")&amp;IF(COUNTIF('网关清单'!$B$2:$B$60,$D183)&gt;0,"撞网关 ","")&amp;IF(AND(COUNTIF($D$2:$D$300,$D183)=1,COUNTIF('网关清单'!$B$2:$B$60,$D183)=0),"OK","")))</f>
        <v/>
      </c>
      <c r="M183" s="2" t="n"/>
    </row>
    <row r="184">
      <c r="A184" s="2">
        <f>IF($D184="","",ROW()-1)</f>
        <v/>
      </c>
      <c r="B184" s="2" t="n"/>
      <c r="C184" s="2" t="n"/>
      <c r="D184" s="2" t="n"/>
      <c r="E184" s="2" t="n"/>
      <c r="F184" s="2">
        <f>IF($D184="","",MID($D184,1,FIND("|",SUBSTITUTE($D184,".","|",3))-1)&amp;".x")</f>
        <v/>
      </c>
      <c r="G184" s="2" t="n"/>
      <c r="H184" s="2" t="n"/>
      <c r="I184" s="2" t="n"/>
      <c r="J184" s="2" t="n"/>
      <c r="K184" s="2" t="n"/>
      <c r="L184" s="2">
        <f>IF($D184="","",TRIM(IF(COUNTIF($D$2:$D$300,$D184)&gt;1,"重复IP ","")&amp;IF(COUNTIF('网关清单'!$B$2:$B$60,$D184)&gt;0,"撞网关 ","")&amp;IF(AND(COUNTIF($D$2:$D$300,$D184)=1,COUNTIF('网关清单'!$B$2:$B$60,$D184)=0),"OK","")))</f>
        <v/>
      </c>
      <c r="M184" s="2" t="n"/>
    </row>
    <row r="185">
      <c r="A185" s="2">
        <f>IF($D185="","",ROW()-1)</f>
        <v/>
      </c>
      <c r="B185" s="2" t="n"/>
      <c r="C185" s="2" t="n"/>
      <c r="D185" s="2" t="n"/>
      <c r="E185" s="2" t="n"/>
      <c r="F185" s="2">
        <f>IF($D185="","",MID($D185,1,FIND("|",SUBSTITUTE($D185,".","|",3))-1)&amp;".x")</f>
        <v/>
      </c>
      <c r="G185" s="2" t="n"/>
      <c r="H185" s="2" t="n"/>
      <c r="I185" s="2" t="n"/>
      <c r="J185" s="2" t="n"/>
      <c r="K185" s="2" t="n"/>
      <c r="L185" s="2">
        <f>IF($D185="","",TRIM(IF(COUNTIF($D$2:$D$300,$D185)&gt;1,"重复IP ","")&amp;IF(COUNTIF('网关清单'!$B$2:$B$60,$D185)&gt;0,"撞网关 ","")&amp;IF(AND(COUNTIF($D$2:$D$300,$D185)=1,COUNTIF('网关清单'!$B$2:$B$60,$D185)=0),"OK","")))</f>
        <v/>
      </c>
      <c r="M185" s="2" t="n"/>
    </row>
    <row r="186">
      <c r="A186" s="2">
        <f>IF($D186="","",ROW()-1)</f>
        <v/>
      </c>
      <c r="B186" s="2" t="n"/>
      <c r="C186" s="2" t="n"/>
      <c r="D186" s="2" t="n"/>
      <c r="E186" s="2" t="n"/>
      <c r="F186" s="2">
        <f>IF($D186="","",MID($D186,1,FIND("|",SUBSTITUTE($D186,".","|",3))-1)&amp;".x")</f>
        <v/>
      </c>
      <c r="G186" s="2" t="n"/>
      <c r="H186" s="2" t="n"/>
      <c r="I186" s="2" t="n"/>
      <c r="J186" s="2" t="n"/>
      <c r="K186" s="2" t="n"/>
      <c r="L186" s="2">
        <f>IF($D186="","",TRIM(IF(COUNTIF($D$2:$D$300,$D186)&gt;1,"重复IP ","")&amp;IF(COUNTIF('网关清单'!$B$2:$B$60,$D186)&gt;0,"撞网关 ","")&amp;IF(AND(COUNTIF($D$2:$D$300,$D186)=1,COUNTIF('网关清单'!$B$2:$B$60,$D186)=0),"OK","")))</f>
        <v/>
      </c>
      <c r="M186" s="2" t="n"/>
    </row>
    <row r="187">
      <c r="A187" s="2">
        <f>IF($D187="","",ROW()-1)</f>
        <v/>
      </c>
      <c r="B187" s="2" t="n"/>
      <c r="C187" s="2" t="n"/>
      <c r="D187" s="2" t="n"/>
      <c r="E187" s="2" t="n"/>
      <c r="F187" s="2">
        <f>IF($D187="","",MID($D187,1,FIND("|",SUBSTITUTE($D187,".","|",3))-1)&amp;".x")</f>
        <v/>
      </c>
      <c r="G187" s="2" t="n"/>
      <c r="H187" s="2" t="n"/>
      <c r="I187" s="2" t="n"/>
      <c r="J187" s="2" t="n"/>
      <c r="K187" s="2" t="n"/>
      <c r="L187" s="2">
        <f>IF($D187="","",TRIM(IF(COUNTIF($D$2:$D$300,$D187)&gt;1,"重复IP ","")&amp;IF(COUNTIF('网关清单'!$B$2:$B$60,$D187)&gt;0,"撞网关 ","")&amp;IF(AND(COUNTIF($D$2:$D$300,$D187)=1,COUNTIF('网关清单'!$B$2:$B$60,$D187)=0),"OK","")))</f>
        <v/>
      </c>
      <c r="M187" s="2" t="n"/>
    </row>
    <row r="188">
      <c r="A188" s="2">
        <f>IF($D188="","",ROW()-1)</f>
        <v/>
      </c>
      <c r="B188" s="2" t="n"/>
      <c r="C188" s="2" t="n"/>
      <c r="D188" s="2" t="n"/>
      <c r="E188" s="2" t="n"/>
      <c r="F188" s="2">
        <f>IF($D188="","",MID($D188,1,FIND("|",SUBSTITUTE($D188,".","|",3))-1)&amp;".x")</f>
        <v/>
      </c>
      <c r="G188" s="2" t="n"/>
      <c r="H188" s="2" t="n"/>
      <c r="I188" s="2" t="n"/>
      <c r="J188" s="2" t="n"/>
      <c r="K188" s="2" t="n"/>
      <c r="L188" s="2">
        <f>IF($D188="","",TRIM(IF(COUNTIF($D$2:$D$300,$D188)&gt;1,"重复IP ","")&amp;IF(COUNTIF('网关清单'!$B$2:$B$60,$D188)&gt;0,"撞网关 ","")&amp;IF(AND(COUNTIF($D$2:$D$300,$D188)=1,COUNTIF('网关清单'!$B$2:$B$60,$D188)=0),"OK","")))</f>
        <v/>
      </c>
      <c r="M188" s="2" t="n"/>
    </row>
    <row r="189">
      <c r="A189" s="2">
        <f>IF($D189="","",ROW()-1)</f>
        <v/>
      </c>
      <c r="B189" s="2" t="n"/>
      <c r="C189" s="2" t="n"/>
      <c r="D189" s="2" t="n"/>
      <c r="E189" s="2" t="n"/>
      <c r="F189" s="2">
        <f>IF($D189="","",MID($D189,1,FIND("|",SUBSTITUTE($D189,".","|",3))-1)&amp;".x")</f>
        <v/>
      </c>
      <c r="G189" s="2" t="n"/>
      <c r="H189" s="2" t="n"/>
      <c r="I189" s="2" t="n"/>
      <c r="J189" s="2" t="n"/>
      <c r="K189" s="2" t="n"/>
      <c r="L189" s="2">
        <f>IF($D189="","",TRIM(IF(COUNTIF($D$2:$D$300,$D189)&gt;1,"重复IP ","")&amp;IF(COUNTIF('网关清单'!$B$2:$B$60,$D189)&gt;0,"撞网关 ","")&amp;IF(AND(COUNTIF($D$2:$D$300,$D189)=1,COUNTIF('网关清单'!$B$2:$B$60,$D189)=0),"OK","")))</f>
        <v/>
      </c>
      <c r="M189" s="2" t="n"/>
    </row>
    <row r="190">
      <c r="A190" s="2">
        <f>IF($D190="","",ROW()-1)</f>
        <v/>
      </c>
      <c r="B190" s="2" t="n"/>
      <c r="C190" s="2" t="n"/>
      <c r="D190" s="2" t="n"/>
      <c r="E190" s="2" t="n"/>
      <c r="F190" s="2">
        <f>IF($D190="","",MID($D190,1,FIND("|",SUBSTITUTE($D190,".","|",3))-1)&amp;".x")</f>
        <v/>
      </c>
      <c r="G190" s="2" t="n"/>
      <c r="H190" s="2" t="n"/>
      <c r="I190" s="2" t="n"/>
      <c r="J190" s="2" t="n"/>
      <c r="K190" s="2" t="n"/>
      <c r="L190" s="2">
        <f>IF($D190="","",TRIM(IF(COUNTIF($D$2:$D$300,$D190)&gt;1,"重复IP ","")&amp;IF(COUNTIF('网关清单'!$B$2:$B$60,$D190)&gt;0,"撞网关 ","")&amp;IF(AND(COUNTIF($D$2:$D$300,$D190)=1,COUNTIF('网关清单'!$B$2:$B$60,$D190)=0),"OK","")))</f>
        <v/>
      </c>
      <c r="M190" s="2" t="n"/>
    </row>
    <row r="191">
      <c r="A191" s="2">
        <f>IF($D191="","",ROW()-1)</f>
        <v/>
      </c>
      <c r="B191" s="2" t="n"/>
      <c r="C191" s="2" t="n"/>
      <c r="D191" s="2" t="n"/>
      <c r="E191" s="2" t="n"/>
      <c r="F191" s="2">
        <f>IF($D191="","",MID($D191,1,FIND("|",SUBSTITUTE($D191,".","|",3))-1)&amp;".x")</f>
        <v/>
      </c>
      <c r="G191" s="2" t="n"/>
      <c r="H191" s="2" t="n"/>
      <c r="I191" s="2" t="n"/>
      <c r="J191" s="2" t="n"/>
      <c r="K191" s="2" t="n"/>
      <c r="L191" s="2">
        <f>IF($D191="","",TRIM(IF(COUNTIF($D$2:$D$300,$D191)&gt;1,"重复IP ","")&amp;IF(COUNTIF('网关清单'!$B$2:$B$60,$D191)&gt;0,"撞网关 ","")&amp;IF(AND(COUNTIF($D$2:$D$300,$D191)=1,COUNTIF('网关清单'!$B$2:$B$60,$D191)=0),"OK","")))</f>
        <v/>
      </c>
      <c r="M191" s="2" t="n"/>
    </row>
    <row r="192">
      <c r="A192" s="2">
        <f>IF($D192="","",ROW()-1)</f>
        <v/>
      </c>
      <c r="B192" s="2" t="n"/>
      <c r="C192" s="2" t="n"/>
      <c r="D192" s="2" t="n"/>
      <c r="E192" s="2" t="n"/>
      <c r="F192" s="2">
        <f>IF($D192="","",MID($D192,1,FIND("|",SUBSTITUTE($D192,".","|",3))-1)&amp;".x")</f>
        <v/>
      </c>
      <c r="G192" s="2" t="n"/>
      <c r="H192" s="2" t="n"/>
      <c r="I192" s="2" t="n"/>
      <c r="J192" s="2" t="n"/>
      <c r="K192" s="2" t="n"/>
      <c r="L192" s="2">
        <f>IF($D192="","",TRIM(IF(COUNTIF($D$2:$D$300,$D192)&gt;1,"重复IP ","")&amp;IF(COUNTIF('网关清单'!$B$2:$B$60,$D192)&gt;0,"撞网关 ","")&amp;IF(AND(COUNTIF($D$2:$D$300,$D192)=1,COUNTIF('网关清单'!$B$2:$B$60,$D192)=0),"OK","")))</f>
        <v/>
      </c>
      <c r="M192" s="2" t="n"/>
    </row>
    <row r="193">
      <c r="A193" s="2">
        <f>IF($D193="","",ROW()-1)</f>
        <v/>
      </c>
      <c r="B193" s="2" t="n"/>
      <c r="C193" s="2" t="n"/>
      <c r="D193" s="2" t="n"/>
      <c r="E193" s="2" t="n"/>
      <c r="F193" s="2">
        <f>IF($D193="","",MID($D193,1,FIND("|",SUBSTITUTE($D193,".","|",3))-1)&amp;".x")</f>
        <v/>
      </c>
      <c r="G193" s="2" t="n"/>
      <c r="H193" s="2" t="n"/>
      <c r="I193" s="2" t="n"/>
      <c r="J193" s="2" t="n"/>
      <c r="K193" s="2" t="n"/>
      <c r="L193" s="2">
        <f>IF($D193="","",TRIM(IF(COUNTIF($D$2:$D$300,$D193)&gt;1,"重复IP ","")&amp;IF(COUNTIF('网关清单'!$B$2:$B$60,$D193)&gt;0,"撞网关 ","")&amp;IF(AND(COUNTIF($D$2:$D$300,$D193)=1,COUNTIF('网关清单'!$B$2:$B$60,$D193)=0),"OK","")))</f>
        <v/>
      </c>
      <c r="M193" s="2" t="n"/>
    </row>
    <row r="194">
      <c r="A194" s="2">
        <f>IF($D194="","",ROW()-1)</f>
        <v/>
      </c>
      <c r="B194" s="2" t="n"/>
      <c r="C194" s="2" t="n"/>
      <c r="D194" s="2" t="n"/>
      <c r="E194" s="2" t="n"/>
      <c r="F194" s="2">
        <f>IF($D194="","",MID($D194,1,FIND("|",SUBSTITUTE($D194,".","|",3))-1)&amp;".x")</f>
        <v/>
      </c>
      <c r="G194" s="2" t="n"/>
      <c r="H194" s="2" t="n"/>
      <c r="I194" s="2" t="n"/>
      <c r="J194" s="2" t="n"/>
      <c r="K194" s="2" t="n"/>
      <c r="L194" s="2">
        <f>IF($D194="","",TRIM(IF(COUNTIF($D$2:$D$300,$D194)&gt;1,"重复IP ","")&amp;IF(COUNTIF('网关清单'!$B$2:$B$60,$D194)&gt;0,"撞网关 ","")&amp;IF(AND(COUNTIF($D$2:$D$300,$D194)=1,COUNTIF('网关清单'!$B$2:$B$60,$D194)=0),"OK","")))</f>
        <v/>
      </c>
      <c r="M194" s="2" t="n"/>
    </row>
    <row r="195">
      <c r="A195" s="2">
        <f>IF($D195="","",ROW()-1)</f>
        <v/>
      </c>
      <c r="B195" s="2" t="n"/>
      <c r="C195" s="2" t="n"/>
      <c r="D195" s="2" t="n"/>
      <c r="E195" s="2" t="n"/>
      <c r="F195" s="2">
        <f>IF($D195="","",MID($D195,1,FIND("|",SUBSTITUTE($D195,".","|",3))-1)&amp;".x")</f>
        <v/>
      </c>
      <c r="G195" s="2" t="n"/>
      <c r="H195" s="2" t="n"/>
      <c r="I195" s="2" t="n"/>
      <c r="J195" s="2" t="n"/>
      <c r="K195" s="2" t="n"/>
      <c r="L195" s="2">
        <f>IF($D195="","",TRIM(IF(COUNTIF($D$2:$D$300,$D195)&gt;1,"重复IP ","")&amp;IF(COUNTIF('网关清单'!$B$2:$B$60,$D195)&gt;0,"撞网关 ","")&amp;IF(AND(COUNTIF($D$2:$D$300,$D195)=1,COUNTIF('网关清单'!$B$2:$B$60,$D195)=0),"OK","")))</f>
        <v/>
      </c>
      <c r="M195" s="2" t="n"/>
    </row>
    <row r="196">
      <c r="A196" s="2">
        <f>IF($D196="","",ROW()-1)</f>
        <v/>
      </c>
      <c r="B196" s="2" t="n"/>
      <c r="C196" s="2" t="n"/>
      <c r="D196" s="2" t="n"/>
      <c r="E196" s="2" t="n"/>
      <c r="F196" s="2">
        <f>IF($D196="","",MID($D196,1,FIND("|",SUBSTITUTE($D196,".","|",3))-1)&amp;".x")</f>
        <v/>
      </c>
      <c r="G196" s="2" t="n"/>
      <c r="H196" s="2" t="n"/>
      <c r="I196" s="2" t="n"/>
      <c r="J196" s="2" t="n"/>
      <c r="K196" s="2" t="n"/>
      <c r="L196" s="2">
        <f>IF($D196="","",TRIM(IF(COUNTIF($D$2:$D$300,$D196)&gt;1,"重复IP ","")&amp;IF(COUNTIF('网关清单'!$B$2:$B$60,$D196)&gt;0,"撞网关 ","")&amp;IF(AND(COUNTIF($D$2:$D$300,$D196)=1,COUNTIF('网关清单'!$B$2:$B$60,$D196)=0),"OK","")))</f>
        <v/>
      </c>
      <c r="M196" s="2" t="n"/>
    </row>
    <row r="197">
      <c r="A197" s="2">
        <f>IF($D197="","",ROW()-1)</f>
        <v/>
      </c>
      <c r="B197" s="2" t="n"/>
      <c r="C197" s="2" t="n"/>
      <c r="D197" s="2" t="n"/>
      <c r="E197" s="2" t="n"/>
      <c r="F197" s="2">
        <f>IF($D197="","",MID($D197,1,FIND("|",SUBSTITUTE($D197,".","|",3))-1)&amp;".x")</f>
        <v/>
      </c>
      <c r="G197" s="2" t="n"/>
      <c r="H197" s="2" t="n"/>
      <c r="I197" s="2" t="n"/>
      <c r="J197" s="2" t="n"/>
      <c r="K197" s="2" t="n"/>
      <c r="L197" s="2">
        <f>IF($D197="","",TRIM(IF(COUNTIF($D$2:$D$300,$D197)&gt;1,"重复IP ","")&amp;IF(COUNTIF('网关清单'!$B$2:$B$60,$D197)&gt;0,"撞网关 ","")&amp;IF(AND(COUNTIF($D$2:$D$300,$D197)=1,COUNTIF('网关清单'!$B$2:$B$60,$D197)=0),"OK","")))</f>
        <v/>
      </c>
      <c r="M197" s="2" t="n"/>
    </row>
    <row r="198">
      <c r="A198" s="2">
        <f>IF($D198="","",ROW()-1)</f>
        <v/>
      </c>
      <c r="B198" s="2" t="n"/>
      <c r="C198" s="2" t="n"/>
      <c r="D198" s="2" t="n"/>
      <c r="E198" s="2" t="n"/>
      <c r="F198" s="2">
        <f>IF($D198="","",MID($D198,1,FIND("|",SUBSTITUTE($D198,".","|",3))-1)&amp;".x")</f>
        <v/>
      </c>
      <c r="G198" s="2" t="n"/>
      <c r="H198" s="2" t="n"/>
      <c r="I198" s="2" t="n"/>
      <c r="J198" s="2" t="n"/>
      <c r="K198" s="2" t="n"/>
      <c r="L198" s="2">
        <f>IF($D198="","",TRIM(IF(COUNTIF($D$2:$D$300,$D198)&gt;1,"重复IP ","")&amp;IF(COUNTIF('网关清单'!$B$2:$B$60,$D198)&gt;0,"撞网关 ","")&amp;IF(AND(COUNTIF($D$2:$D$300,$D198)=1,COUNTIF('网关清单'!$B$2:$B$60,$D198)=0),"OK","")))</f>
        <v/>
      </c>
      <c r="M198" s="2" t="n"/>
    </row>
    <row r="199">
      <c r="A199" s="2">
        <f>IF($D199="","",ROW()-1)</f>
        <v/>
      </c>
      <c r="B199" s="2" t="n"/>
      <c r="C199" s="2" t="n"/>
      <c r="D199" s="2" t="n"/>
      <c r="E199" s="2" t="n"/>
      <c r="F199" s="2">
        <f>IF($D199="","",MID($D199,1,FIND("|",SUBSTITUTE($D199,".","|",3))-1)&amp;".x")</f>
        <v/>
      </c>
      <c r="G199" s="2" t="n"/>
      <c r="H199" s="2" t="n"/>
      <c r="I199" s="2" t="n"/>
      <c r="J199" s="2" t="n"/>
      <c r="K199" s="2" t="n"/>
      <c r="L199" s="2">
        <f>IF($D199="","",TRIM(IF(COUNTIF($D$2:$D$300,$D199)&gt;1,"重复IP ","")&amp;IF(COUNTIF('网关清单'!$B$2:$B$60,$D199)&gt;0,"撞网关 ","")&amp;IF(AND(COUNTIF($D$2:$D$300,$D199)=1,COUNTIF('网关清单'!$B$2:$B$60,$D199)=0),"OK","")))</f>
        <v/>
      </c>
      <c r="M199" s="2" t="n"/>
    </row>
    <row r="200">
      <c r="A200" s="2">
        <f>IF($D200="","",ROW()-1)</f>
        <v/>
      </c>
      <c r="B200" s="2" t="n"/>
      <c r="C200" s="2" t="n"/>
      <c r="D200" s="2" t="n"/>
      <c r="E200" s="2" t="n"/>
      <c r="F200" s="2">
        <f>IF($D200="","",MID($D200,1,FIND("|",SUBSTITUTE($D200,".","|",3))-1)&amp;".x")</f>
        <v/>
      </c>
      <c r="G200" s="2" t="n"/>
      <c r="H200" s="2" t="n"/>
      <c r="I200" s="2" t="n"/>
      <c r="J200" s="2" t="n"/>
      <c r="K200" s="2" t="n"/>
      <c r="L200" s="2">
        <f>IF($D200="","",TRIM(IF(COUNTIF($D$2:$D$300,$D200)&gt;1,"重复IP ","")&amp;IF(COUNTIF('网关清单'!$B$2:$B$60,$D200)&gt;0,"撞网关 ","")&amp;IF(AND(COUNTIF($D$2:$D$300,$D200)=1,COUNTIF('网关清单'!$B$2:$B$60,$D200)=0),"OK","")))</f>
        <v/>
      </c>
      <c r="M200" s="2" t="n"/>
    </row>
    <row r="201">
      <c r="A201" s="2">
        <f>IF($D201="","",ROW()-1)</f>
        <v/>
      </c>
      <c r="B201" s="2" t="n"/>
      <c r="C201" s="2" t="n"/>
      <c r="D201" s="2" t="n"/>
      <c r="E201" s="2" t="n"/>
      <c r="F201" s="2">
        <f>IF($D201="","",MID($D201,1,FIND("|",SUBSTITUTE($D201,".","|",3))-1)&amp;".x")</f>
        <v/>
      </c>
      <c r="G201" s="2" t="n"/>
      <c r="H201" s="2" t="n"/>
      <c r="I201" s="2" t="n"/>
      <c r="J201" s="2" t="n"/>
      <c r="K201" s="2" t="n"/>
      <c r="L201" s="2">
        <f>IF($D201="","",TRIM(IF(COUNTIF($D$2:$D$300,$D201)&gt;1,"重复IP ","")&amp;IF(COUNTIF('网关清单'!$B$2:$B$60,$D201)&gt;0,"撞网关 ","")&amp;IF(AND(COUNTIF($D$2:$D$300,$D201)=1,COUNTIF('网关清单'!$B$2:$B$60,$D201)=0),"OK","")))</f>
        <v/>
      </c>
      <c r="M201" s="2" t="n"/>
    </row>
    <row r="202">
      <c r="A202" s="2">
        <f>IF($D202="","",ROW()-1)</f>
        <v/>
      </c>
      <c r="B202" s="2" t="n"/>
      <c r="C202" s="2" t="n"/>
      <c r="D202" s="2" t="n"/>
      <c r="E202" s="2" t="n"/>
      <c r="F202" s="2">
        <f>IF($D202="","",MID($D202,1,FIND("|",SUBSTITUTE($D202,".","|",3))-1)&amp;".x")</f>
        <v/>
      </c>
      <c r="G202" s="2" t="n"/>
      <c r="H202" s="2" t="n"/>
      <c r="I202" s="2" t="n"/>
      <c r="J202" s="2" t="n"/>
      <c r="K202" s="2" t="n"/>
      <c r="L202" s="2">
        <f>IF($D202="","",TRIM(IF(COUNTIF($D$2:$D$300,$D202)&gt;1,"重复IP ","")&amp;IF(COUNTIF('网关清单'!$B$2:$B$60,$D202)&gt;0,"撞网关 ","")&amp;IF(AND(COUNTIF($D$2:$D$300,$D202)=1,COUNTIF('网关清单'!$B$2:$B$60,$D202)=0),"OK","")))</f>
        <v/>
      </c>
      <c r="M202" s="2" t="n"/>
    </row>
    <row r="203">
      <c r="A203" s="2">
        <f>IF($D203="","",ROW()-1)</f>
        <v/>
      </c>
      <c r="B203" s="2" t="n"/>
      <c r="C203" s="2" t="n"/>
      <c r="D203" s="2" t="n"/>
      <c r="E203" s="2" t="n"/>
      <c r="F203" s="2">
        <f>IF($D203="","",MID($D203,1,FIND("|",SUBSTITUTE($D203,".","|",3))-1)&amp;".x")</f>
        <v/>
      </c>
      <c r="G203" s="2" t="n"/>
      <c r="H203" s="2" t="n"/>
      <c r="I203" s="2" t="n"/>
      <c r="J203" s="2" t="n"/>
      <c r="K203" s="2" t="n"/>
      <c r="L203" s="2">
        <f>IF($D203="","",TRIM(IF(COUNTIF($D$2:$D$300,$D203)&gt;1,"重复IP ","")&amp;IF(COUNTIF('网关清单'!$B$2:$B$60,$D203)&gt;0,"撞网关 ","")&amp;IF(AND(COUNTIF($D$2:$D$300,$D203)=1,COUNTIF('网关清单'!$B$2:$B$60,$D203)=0),"OK","")))</f>
        <v/>
      </c>
      <c r="M203" s="2" t="n"/>
    </row>
    <row r="204">
      <c r="A204" s="2">
        <f>IF($D204="","",ROW()-1)</f>
        <v/>
      </c>
      <c r="B204" s="2" t="n"/>
      <c r="C204" s="2" t="n"/>
      <c r="D204" s="2" t="n"/>
      <c r="E204" s="2" t="n"/>
      <c r="F204" s="2">
        <f>IF($D204="","",MID($D204,1,FIND("|",SUBSTITUTE($D204,".","|",3))-1)&amp;".x")</f>
        <v/>
      </c>
      <c r="G204" s="2" t="n"/>
      <c r="H204" s="2" t="n"/>
      <c r="I204" s="2" t="n"/>
      <c r="J204" s="2" t="n"/>
      <c r="K204" s="2" t="n"/>
      <c r="L204" s="2">
        <f>IF($D204="","",TRIM(IF(COUNTIF($D$2:$D$300,$D204)&gt;1,"重复IP ","")&amp;IF(COUNTIF('网关清单'!$B$2:$B$60,$D204)&gt;0,"撞网关 ","")&amp;IF(AND(COUNTIF($D$2:$D$300,$D204)=1,COUNTIF('网关清单'!$B$2:$B$60,$D204)=0),"OK","")))</f>
        <v/>
      </c>
      <c r="M204" s="2" t="n"/>
    </row>
    <row r="205">
      <c r="A205" s="2">
        <f>IF($D205="","",ROW()-1)</f>
        <v/>
      </c>
      <c r="B205" s="2" t="n"/>
      <c r="C205" s="2" t="n"/>
      <c r="D205" s="2" t="n"/>
      <c r="E205" s="2" t="n"/>
      <c r="F205" s="2">
        <f>IF($D205="","",MID($D205,1,FIND("|",SUBSTITUTE($D205,".","|",3))-1)&amp;".x")</f>
        <v/>
      </c>
      <c r="G205" s="2" t="n"/>
      <c r="H205" s="2" t="n"/>
      <c r="I205" s="2" t="n"/>
      <c r="J205" s="2" t="n"/>
      <c r="K205" s="2" t="n"/>
      <c r="L205" s="2">
        <f>IF($D205="","",TRIM(IF(COUNTIF($D$2:$D$300,$D205)&gt;1,"重复IP ","")&amp;IF(COUNTIF('网关清单'!$B$2:$B$60,$D205)&gt;0,"撞网关 ","")&amp;IF(AND(COUNTIF($D$2:$D$300,$D205)=1,COUNTIF('网关清单'!$B$2:$B$60,$D205)=0),"OK","")))</f>
        <v/>
      </c>
      <c r="M205" s="2" t="n"/>
    </row>
    <row r="206">
      <c r="A206" s="2">
        <f>IF($D206="","",ROW()-1)</f>
        <v/>
      </c>
      <c r="B206" s="2" t="n"/>
      <c r="C206" s="2" t="n"/>
      <c r="D206" s="2" t="n"/>
      <c r="E206" s="2" t="n"/>
      <c r="F206" s="2">
        <f>IF($D206="","",MID($D206,1,FIND("|",SUBSTITUTE($D206,".","|",3))-1)&amp;".x")</f>
        <v/>
      </c>
      <c r="G206" s="2" t="n"/>
      <c r="H206" s="2" t="n"/>
      <c r="I206" s="2" t="n"/>
      <c r="J206" s="2" t="n"/>
      <c r="K206" s="2" t="n"/>
      <c r="L206" s="2">
        <f>IF($D206="","",TRIM(IF(COUNTIF($D$2:$D$300,$D206)&gt;1,"重复IP ","")&amp;IF(COUNTIF('网关清单'!$B$2:$B$60,$D206)&gt;0,"撞网关 ","")&amp;IF(AND(COUNTIF($D$2:$D$300,$D206)=1,COUNTIF('网关清单'!$B$2:$B$60,$D206)=0),"OK","")))</f>
        <v/>
      </c>
      <c r="M206" s="2" t="n"/>
    </row>
    <row r="207">
      <c r="A207" s="2">
        <f>IF($D207="","",ROW()-1)</f>
        <v/>
      </c>
      <c r="B207" s="2" t="n"/>
      <c r="C207" s="2" t="n"/>
      <c r="D207" s="2" t="n"/>
      <c r="E207" s="2" t="n"/>
      <c r="F207" s="2">
        <f>IF($D207="","",MID($D207,1,FIND("|",SUBSTITUTE($D207,".","|",3))-1)&amp;".x")</f>
        <v/>
      </c>
      <c r="G207" s="2" t="n"/>
      <c r="H207" s="2" t="n"/>
      <c r="I207" s="2" t="n"/>
      <c r="J207" s="2" t="n"/>
      <c r="K207" s="2" t="n"/>
      <c r="L207" s="2">
        <f>IF($D207="","",TRIM(IF(COUNTIF($D$2:$D$300,$D207)&gt;1,"重复IP ","")&amp;IF(COUNTIF('网关清单'!$B$2:$B$60,$D207)&gt;0,"撞网关 ","")&amp;IF(AND(COUNTIF($D$2:$D$300,$D207)=1,COUNTIF('网关清单'!$B$2:$B$60,$D207)=0),"OK","")))</f>
        <v/>
      </c>
      <c r="M207" s="2" t="n"/>
    </row>
    <row r="208">
      <c r="A208" s="2">
        <f>IF($D208="","",ROW()-1)</f>
        <v/>
      </c>
      <c r="B208" s="2" t="n"/>
      <c r="C208" s="2" t="n"/>
      <c r="D208" s="2" t="n"/>
      <c r="E208" s="2" t="n"/>
      <c r="F208" s="2">
        <f>IF($D208="","",MID($D208,1,FIND("|",SUBSTITUTE($D208,".","|",3))-1)&amp;".x")</f>
        <v/>
      </c>
      <c r="G208" s="2" t="n"/>
      <c r="H208" s="2" t="n"/>
      <c r="I208" s="2" t="n"/>
      <c r="J208" s="2" t="n"/>
      <c r="K208" s="2" t="n"/>
      <c r="L208" s="2">
        <f>IF($D208="","",TRIM(IF(COUNTIF($D$2:$D$300,$D208)&gt;1,"重复IP ","")&amp;IF(COUNTIF('网关清单'!$B$2:$B$60,$D208)&gt;0,"撞网关 ","")&amp;IF(AND(COUNTIF($D$2:$D$300,$D208)=1,COUNTIF('网关清单'!$B$2:$B$60,$D208)=0),"OK","")))</f>
        <v/>
      </c>
      <c r="M208" s="2" t="n"/>
    </row>
    <row r="209">
      <c r="A209" s="2">
        <f>IF($D209="","",ROW()-1)</f>
        <v/>
      </c>
      <c r="B209" s="2" t="n"/>
      <c r="C209" s="2" t="n"/>
      <c r="D209" s="2" t="n"/>
      <c r="E209" s="2" t="n"/>
      <c r="F209" s="2">
        <f>IF($D209="","",MID($D209,1,FIND("|",SUBSTITUTE($D209,".","|",3))-1)&amp;".x")</f>
        <v/>
      </c>
      <c r="G209" s="2" t="n"/>
      <c r="H209" s="2" t="n"/>
      <c r="I209" s="2" t="n"/>
      <c r="J209" s="2" t="n"/>
      <c r="K209" s="2" t="n"/>
      <c r="L209" s="2">
        <f>IF($D209="","",TRIM(IF(COUNTIF($D$2:$D$300,$D209)&gt;1,"重复IP ","")&amp;IF(COUNTIF('网关清单'!$B$2:$B$60,$D209)&gt;0,"撞网关 ","")&amp;IF(AND(COUNTIF($D$2:$D$300,$D209)=1,COUNTIF('网关清单'!$B$2:$B$60,$D209)=0),"OK","")))</f>
        <v/>
      </c>
      <c r="M209" s="2" t="n"/>
    </row>
    <row r="210">
      <c r="A210" s="2">
        <f>IF($D210="","",ROW()-1)</f>
        <v/>
      </c>
      <c r="B210" s="2" t="n"/>
      <c r="C210" s="2" t="n"/>
      <c r="D210" s="2" t="n"/>
      <c r="E210" s="2" t="n"/>
      <c r="F210" s="2">
        <f>IF($D210="","",MID($D210,1,FIND("|",SUBSTITUTE($D210,".","|",3))-1)&amp;".x")</f>
        <v/>
      </c>
      <c r="G210" s="2" t="n"/>
      <c r="H210" s="2" t="n"/>
      <c r="I210" s="2" t="n"/>
      <c r="J210" s="2" t="n"/>
      <c r="K210" s="2" t="n"/>
      <c r="L210" s="2">
        <f>IF($D210="","",TRIM(IF(COUNTIF($D$2:$D$300,$D210)&gt;1,"重复IP ","")&amp;IF(COUNTIF('网关清单'!$B$2:$B$60,$D210)&gt;0,"撞网关 ","")&amp;IF(AND(COUNTIF($D$2:$D$300,$D210)=1,COUNTIF('网关清单'!$B$2:$B$60,$D210)=0),"OK","")))</f>
        <v/>
      </c>
      <c r="M210" s="2" t="n"/>
    </row>
    <row r="211">
      <c r="A211" s="2">
        <f>IF($D211="","",ROW()-1)</f>
        <v/>
      </c>
      <c r="B211" s="2" t="n"/>
      <c r="C211" s="2" t="n"/>
      <c r="D211" s="2" t="n"/>
      <c r="E211" s="2" t="n"/>
      <c r="F211" s="2">
        <f>IF($D211="","",MID($D211,1,FIND("|",SUBSTITUTE($D211,".","|",3))-1)&amp;".x")</f>
        <v/>
      </c>
      <c r="G211" s="2" t="n"/>
      <c r="H211" s="2" t="n"/>
      <c r="I211" s="2" t="n"/>
      <c r="J211" s="2" t="n"/>
      <c r="K211" s="2" t="n"/>
      <c r="L211" s="2">
        <f>IF($D211="","",TRIM(IF(COUNTIF($D$2:$D$300,$D211)&gt;1,"重复IP ","")&amp;IF(COUNTIF('网关清单'!$B$2:$B$60,$D211)&gt;0,"撞网关 ","")&amp;IF(AND(COUNTIF($D$2:$D$300,$D211)=1,COUNTIF('网关清单'!$B$2:$B$60,$D211)=0),"OK","")))</f>
        <v/>
      </c>
      <c r="M211" s="2" t="n"/>
    </row>
    <row r="212">
      <c r="A212" s="2">
        <f>IF($D212="","",ROW()-1)</f>
        <v/>
      </c>
      <c r="B212" s="2" t="n"/>
      <c r="C212" s="2" t="n"/>
      <c r="D212" s="2" t="n"/>
      <c r="E212" s="2" t="n"/>
      <c r="F212" s="2">
        <f>IF($D212="","",MID($D212,1,FIND("|",SUBSTITUTE($D212,".","|",3))-1)&amp;".x")</f>
        <v/>
      </c>
      <c r="G212" s="2" t="n"/>
      <c r="H212" s="2" t="n"/>
      <c r="I212" s="2" t="n"/>
      <c r="J212" s="2" t="n"/>
      <c r="K212" s="2" t="n"/>
      <c r="L212" s="2">
        <f>IF($D212="","",TRIM(IF(COUNTIF($D$2:$D$300,$D212)&gt;1,"重复IP ","")&amp;IF(COUNTIF('网关清单'!$B$2:$B$60,$D212)&gt;0,"撞网关 ","")&amp;IF(AND(COUNTIF($D$2:$D$300,$D212)=1,COUNTIF('网关清单'!$B$2:$B$60,$D212)=0),"OK","")))</f>
        <v/>
      </c>
      <c r="M212" s="2" t="n"/>
    </row>
    <row r="213">
      <c r="A213" s="2">
        <f>IF($D213="","",ROW()-1)</f>
        <v/>
      </c>
      <c r="B213" s="2" t="n"/>
      <c r="C213" s="2" t="n"/>
      <c r="D213" s="2" t="n"/>
      <c r="E213" s="2" t="n"/>
      <c r="F213" s="2">
        <f>IF($D213="","",MID($D213,1,FIND("|",SUBSTITUTE($D213,".","|",3))-1)&amp;".x")</f>
        <v/>
      </c>
      <c r="G213" s="2" t="n"/>
      <c r="H213" s="2" t="n"/>
      <c r="I213" s="2" t="n"/>
      <c r="J213" s="2" t="n"/>
      <c r="K213" s="2" t="n"/>
      <c r="L213" s="2">
        <f>IF($D213="","",TRIM(IF(COUNTIF($D$2:$D$300,$D213)&gt;1,"重复IP ","")&amp;IF(COUNTIF('网关清单'!$B$2:$B$60,$D213)&gt;0,"撞网关 ","")&amp;IF(AND(COUNTIF($D$2:$D$300,$D213)=1,COUNTIF('网关清单'!$B$2:$B$60,$D213)=0),"OK","")))</f>
        <v/>
      </c>
      <c r="M213" s="2" t="n"/>
    </row>
    <row r="214">
      <c r="A214" s="2">
        <f>IF($D214="","",ROW()-1)</f>
        <v/>
      </c>
      <c r="B214" s="2" t="n"/>
      <c r="C214" s="2" t="n"/>
      <c r="D214" s="2" t="n"/>
      <c r="E214" s="2" t="n"/>
      <c r="F214" s="2">
        <f>IF($D214="","",MID($D214,1,FIND("|",SUBSTITUTE($D214,".","|",3))-1)&amp;".x")</f>
        <v/>
      </c>
      <c r="G214" s="2" t="n"/>
      <c r="H214" s="2" t="n"/>
      <c r="I214" s="2" t="n"/>
      <c r="J214" s="2" t="n"/>
      <c r="K214" s="2" t="n"/>
      <c r="L214" s="2">
        <f>IF($D214="","",TRIM(IF(COUNTIF($D$2:$D$300,$D214)&gt;1,"重复IP ","")&amp;IF(COUNTIF('网关清单'!$B$2:$B$60,$D214)&gt;0,"撞网关 ","")&amp;IF(AND(COUNTIF($D$2:$D$300,$D214)=1,COUNTIF('网关清单'!$B$2:$B$60,$D214)=0),"OK","")))</f>
        <v/>
      </c>
      <c r="M214" s="2" t="n"/>
    </row>
    <row r="215">
      <c r="A215" s="2">
        <f>IF($D215="","",ROW()-1)</f>
        <v/>
      </c>
      <c r="B215" s="2" t="n"/>
      <c r="C215" s="2" t="n"/>
      <c r="D215" s="2" t="n"/>
      <c r="E215" s="2" t="n"/>
      <c r="F215" s="2">
        <f>IF($D215="","",MID($D215,1,FIND("|",SUBSTITUTE($D215,".","|",3))-1)&amp;".x")</f>
        <v/>
      </c>
      <c r="G215" s="2" t="n"/>
      <c r="H215" s="2" t="n"/>
      <c r="I215" s="2" t="n"/>
      <c r="J215" s="2" t="n"/>
      <c r="K215" s="2" t="n"/>
      <c r="L215" s="2">
        <f>IF($D215="","",TRIM(IF(COUNTIF($D$2:$D$300,$D215)&gt;1,"重复IP ","")&amp;IF(COUNTIF('网关清单'!$B$2:$B$60,$D215)&gt;0,"撞网关 ","")&amp;IF(AND(COUNTIF($D$2:$D$300,$D215)=1,COUNTIF('网关清单'!$B$2:$B$60,$D215)=0),"OK","")))</f>
        <v/>
      </c>
      <c r="M215" s="2" t="n"/>
    </row>
    <row r="216">
      <c r="A216" s="2">
        <f>IF($D216="","",ROW()-1)</f>
        <v/>
      </c>
      <c r="B216" s="2" t="n"/>
      <c r="C216" s="2" t="n"/>
      <c r="D216" s="2" t="n"/>
      <c r="E216" s="2" t="n"/>
      <c r="F216" s="2">
        <f>IF($D216="","",MID($D216,1,FIND("|",SUBSTITUTE($D216,".","|",3))-1)&amp;".x")</f>
        <v/>
      </c>
      <c r="G216" s="2" t="n"/>
      <c r="H216" s="2" t="n"/>
      <c r="I216" s="2" t="n"/>
      <c r="J216" s="2" t="n"/>
      <c r="K216" s="2" t="n"/>
      <c r="L216" s="2">
        <f>IF($D216="","",TRIM(IF(COUNTIF($D$2:$D$300,$D216)&gt;1,"重复IP ","")&amp;IF(COUNTIF('网关清单'!$B$2:$B$60,$D216)&gt;0,"撞网关 ","")&amp;IF(AND(COUNTIF($D$2:$D$300,$D216)=1,COUNTIF('网关清单'!$B$2:$B$60,$D216)=0),"OK","")))</f>
        <v/>
      </c>
      <c r="M216" s="2" t="n"/>
    </row>
    <row r="217">
      <c r="A217" s="2">
        <f>IF($D217="","",ROW()-1)</f>
        <v/>
      </c>
      <c r="B217" s="2" t="n"/>
      <c r="C217" s="2" t="n"/>
      <c r="D217" s="2" t="n"/>
      <c r="E217" s="2" t="n"/>
      <c r="F217" s="2">
        <f>IF($D217="","",MID($D217,1,FIND("|",SUBSTITUTE($D217,".","|",3))-1)&amp;".x")</f>
        <v/>
      </c>
      <c r="G217" s="2" t="n"/>
      <c r="H217" s="2" t="n"/>
      <c r="I217" s="2" t="n"/>
      <c r="J217" s="2" t="n"/>
      <c r="K217" s="2" t="n"/>
      <c r="L217" s="2">
        <f>IF($D217="","",TRIM(IF(COUNTIF($D$2:$D$300,$D217)&gt;1,"重复IP ","")&amp;IF(COUNTIF('网关清单'!$B$2:$B$60,$D217)&gt;0,"撞网关 ","")&amp;IF(AND(COUNTIF($D$2:$D$300,$D217)=1,COUNTIF('网关清单'!$B$2:$B$60,$D217)=0),"OK","")))</f>
        <v/>
      </c>
      <c r="M217" s="2" t="n"/>
    </row>
    <row r="218">
      <c r="A218" s="2">
        <f>IF($D218="","",ROW()-1)</f>
        <v/>
      </c>
      <c r="B218" s="2" t="n"/>
      <c r="C218" s="2" t="n"/>
      <c r="D218" s="2" t="n"/>
      <c r="E218" s="2" t="n"/>
      <c r="F218" s="2">
        <f>IF($D218="","",MID($D218,1,FIND("|",SUBSTITUTE($D218,".","|",3))-1)&amp;".x")</f>
        <v/>
      </c>
      <c r="G218" s="2" t="n"/>
      <c r="H218" s="2" t="n"/>
      <c r="I218" s="2" t="n"/>
      <c r="J218" s="2" t="n"/>
      <c r="K218" s="2" t="n"/>
      <c r="L218" s="2">
        <f>IF($D218="","",TRIM(IF(COUNTIF($D$2:$D$300,$D218)&gt;1,"重复IP ","")&amp;IF(COUNTIF('网关清单'!$B$2:$B$60,$D218)&gt;0,"撞网关 ","")&amp;IF(AND(COUNTIF($D$2:$D$300,$D218)=1,COUNTIF('网关清单'!$B$2:$B$60,$D218)=0),"OK","")))</f>
        <v/>
      </c>
      <c r="M218" s="2" t="n"/>
    </row>
    <row r="219">
      <c r="A219" s="2">
        <f>IF($D219="","",ROW()-1)</f>
        <v/>
      </c>
      <c r="B219" s="2" t="n"/>
      <c r="C219" s="2" t="n"/>
      <c r="D219" s="2" t="n"/>
      <c r="E219" s="2" t="n"/>
      <c r="F219" s="2">
        <f>IF($D219="","",MID($D219,1,FIND("|",SUBSTITUTE($D219,".","|",3))-1)&amp;".x")</f>
        <v/>
      </c>
      <c r="G219" s="2" t="n"/>
      <c r="H219" s="2" t="n"/>
      <c r="I219" s="2" t="n"/>
      <c r="J219" s="2" t="n"/>
      <c r="K219" s="2" t="n"/>
      <c r="L219" s="2">
        <f>IF($D219="","",TRIM(IF(COUNTIF($D$2:$D$300,$D219)&gt;1,"重复IP ","")&amp;IF(COUNTIF('网关清单'!$B$2:$B$60,$D219)&gt;0,"撞网关 ","")&amp;IF(AND(COUNTIF($D$2:$D$300,$D219)=1,COUNTIF('网关清单'!$B$2:$B$60,$D219)=0),"OK","")))</f>
        <v/>
      </c>
      <c r="M219" s="2" t="n"/>
    </row>
    <row r="220">
      <c r="A220" s="2">
        <f>IF($D220="","",ROW()-1)</f>
        <v/>
      </c>
      <c r="B220" s="2" t="n"/>
      <c r="C220" s="2" t="n"/>
      <c r="D220" s="2" t="n"/>
      <c r="E220" s="2" t="n"/>
      <c r="F220" s="2">
        <f>IF($D220="","",MID($D220,1,FIND("|",SUBSTITUTE($D220,".","|",3))-1)&amp;".x")</f>
        <v/>
      </c>
      <c r="G220" s="2" t="n"/>
      <c r="H220" s="2" t="n"/>
      <c r="I220" s="2" t="n"/>
      <c r="J220" s="2" t="n"/>
      <c r="K220" s="2" t="n"/>
      <c r="L220" s="2">
        <f>IF($D220="","",TRIM(IF(COUNTIF($D$2:$D$300,$D220)&gt;1,"重复IP ","")&amp;IF(COUNTIF('网关清单'!$B$2:$B$60,$D220)&gt;0,"撞网关 ","")&amp;IF(AND(COUNTIF($D$2:$D$300,$D220)=1,COUNTIF('网关清单'!$B$2:$B$60,$D220)=0),"OK","")))</f>
        <v/>
      </c>
      <c r="M220" s="2" t="n"/>
    </row>
    <row r="221">
      <c r="A221" s="2">
        <f>IF($D221="","",ROW()-1)</f>
        <v/>
      </c>
      <c r="B221" s="2" t="n"/>
      <c r="C221" s="2" t="n"/>
      <c r="D221" s="2" t="n"/>
      <c r="E221" s="2" t="n"/>
      <c r="F221" s="2">
        <f>IF($D221="","",MID($D221,1,FIND("|",SUBSTITUTE($D221,".","|",3))-1)&amp;".x")</f>
        <v/>
      </c>
      <c r="G221" s="2" t="n"/>
      <c r="H221" s="2" t="n"/>
      <c r="I221" s="2" t="n"/>
      <c r="J221" s="2" t="n"/>
      <c r="K221" s="2" t="n"/>
      <c r="L221" s="2">
        <f>IF($D221="","",TRIM(IF(COUNTIF($D$2:$D$300,$D221)&gt;1,"重复IP ","")&amp;IF(COUNTIF('网关清单'!$B$2:$B$60,$D221)&gt;0,"撞网关 ","")&amp;IF(AND(COUNTIF($D$2:$D$300,$D221)=1,COUNTIF('网关清单'!$B$2:$B$60,$D221)=0),"OK","")))</f>
        <v/>
      </c>
      <c r="M221" s="2" t="n"/>
    </row>
    <row r="222">
      <c r="A222" s="2">
        <f>IF($D222="","",ROW()-1)</f>
        <v/>
      </c>
      <c r="B222" s="2" t="n"/>
      <c r="C222" s="2" t="n"/>
      <c r="D222" s="2" t="n"/>
      <c r="E222" s="2" t="n"/>
      <c r="F222" s="2">
        <f>IF($D222="","",MID($D222,1,FIND("|",SUBSTITUTE($D222,".","|",3))-1)&amp;".x")</f>
        <v/>
      </c>
      <c r="G222" s="2" t="n"/>
      <c r="H222" s="2" t="n"/>
      <c r="I222" s="2" t="n"/>
      <c r="J222" s="2" t="n"/>
      <c r="K222" s="2" t="n"/>
      <c r="L222" s="2">
        <f>IF($D222="","",TRIM(IF(COUNTIF($D$2:$D$300,$D222)&gt;1,"重复IP ","")&amp;IF(COUNTIF('网关清单'!$B$2:$B$60,$D222)&gt;0,"撞网关 ","")&amp;IF(AND(COUNTIF($D$2:$D$300,$D222)=1,COUNTIF('网关清单'!$B$2:$B$60,$D222)=0),"OK","")))</f>
        <v/>
      </c>
      <c r="M222" s="2" t="n"/>
    </row>
    <row r="223">
      <c r="A223" s="2">
        <f>IF($D223="","",ROW()-1)</f>
        <v/>
      </c>
      <c r="B223" s="2" t="n"/>
      <c r="C223" s="2" t="n"/>
      <c r="D223" s="2" t="n"/>
      <c r="E223" s="2" t="n"/>
      <c r="F223" s="2">
        <f>IF($D223="","",MID($D223,1,FIND("|",SUBSTITUTE($D223,".","|",3))-1)&amp;".x")</f>
        <v/>
      </c>
      <c r="G223" s="2" t="n"/>
      <c r="H223" s="2" t="n"/>
      <c r="I223" s="2" t="n"/>
      <c r="J223" s="2" t="n"/>
      <c r="K223" s="2" t="n"/>
      <c r="L223" s="2">
        <f>IF($D223="","",TRIM(IF(COUNTIF($D$2:$D$300,$D223)&gt;1,"重复IP ","")&amp;IF(COUNTIF('网关清单'!$B$2:$B$60,$D223)&gt;0,"撞网关 ","")&amp;IF(AND(COUNTIF($D$2:$D$300,$D223)=1,COUNTIF('网关清单'!$B$2:$B$60,$D223)=0),"OK","")))</f>
        <v/>
      </c>
      <c r="M223" s="2" t="n"/>
    </row>
    <row r="224">
      <c r="A224" s="2">
        <f>IF($D224="","",ROW()-1)</f>
        <v/>
      </c>
      <c r="B224" s="2" t="n"/>
      <c r="C224" s="2" t="n"/>
      <c r="D224" s="2" t="n"/>
      <c r="E224" s="2" t="n"/>
      <c r="F224" s="2">
        <f>IF($D224="","",MID($D224,1,FIND("|",SUBSTITUTE($D224,".","|",3))-1)&amp;".x")</f>
        <v/>
      </c>
      <c r="G224" s="2" t="n"/>
      <c r="H224" s="2" t="n"/>
      <c r="I224" s="2" t="n"/>
      <c r="J224" s="2" t="n"/>
      <c r="K224" s="2" t="n"/>
      <c r="L224" s="2">
        <f>IF($D224="","",TRIM(IF(COUNTIF($D$2:$D$300,$D224)&gt;1,"重复IP ","")&amp;IF(COUNTIF('网关清单'!$B$2:$B$60,$D224)&gt;0,"撞网关 ","")&amp;IF(AND(COUNTIF($D$2:$D$300,$D224)=1,COUNTIF('网关清单'!$B$2:$B$60,$D224)=0),"OK","")))</f>
        <v/>
      </c>
      <c r="M224" s="2" t="n"/>
    </row>
    <row r="225">
      <c r="A225" s="2">
        <f>IF($D225="","",ROW()-1)</f>
        <v/>
      </c>
      <c r="B225" s="2" t="n"/>
      <c r="C225" s="2" t="n"/>
      <c r="D225" s="2" t="n"/>
      <c r="E225" s="2" t="n"/>
      <c r="F225" s="2">
        <f>IF($D225="","",MID($D225,1,FIND("|",SUBSTITUTE($D225,".","|",3))-1)&amp;".x")</f>
        <v/>
      </c>
      <c r="G225" s="2" t="n"/>
      <c r="H225" s="2" t="n"/>
      <c r="I225" s="2" t="n"/>
      <c r="J225" s="2" t="n"/>
      <c r="K225" s="2" t="n"/>
      <c r="L225" s="2">
        <f>IF($D225="","",TRIM(IF(COUNTIF($D$2:$D$300,$D225)&gt;1,"重复IP ","")&amp;IF(COUNTIF('网关清单'!$B$2:$B$60,$D225)&gt;0,"撞网关 ","")&amp;IF(AND(COUNTIF($D$2:$D$300,$D225)=1,COUNTIF('网关清单'!$B$2:$B$60,$D225)=0),"OK","")))</f>
        <v/>
      </c>
      <c r="M225" s="2" t="n"/>
    </row>
    <row r="226">
      <c r="A226" s="2">
        <f>IF($D226="","",ROW()-1)</f>
        <v/>
      </c>
      <c r="B226" s="2" t="n"/>
      <c r="C226" s="2" t="n"/>
      <c r="D226" s="2" t="n"/>
      <c r="E226" s="2" t="n"/>
      <c r="F226" s="2">
        <f>IF($D226="","",MID($D226,1,FIND("|",SUBSTITUTE($D226,".","|",3))-1)&amp;".x")</f>
        <v/>
      </c>
      <c r="G226" s="2" t="n"/>
      <c r="H226" s="2" t="n"/>
      <c r="I226" s="2" t="n"/>
      <c r="J226" s="2" t="n"/>
      <c r="K226" s="2" t="n"/>
      <c r="L226" s="2">
        <f>IF($D226="","",TRIM(IF(COUNTIF($D$2:$D$300,$D226)&gt;1,"重复IP ","")&amp;IF(COUNTIF('网关清单'!$B$2:$B$60,$D226)&gt;0,"撞网关 ","")&amp;IF(AND(COUNTIF($D$2:$D$300,$D226)=1,COUNTIF('网关清单'!$B$2:$B$60,$D226)=0),"OK","")))</f>
        <v/>
      </c>
      <c r="M226" s="2" t="n"/>
    </row>
    <row r="227">
      <c r="A227" s="2">
        <f>IF($D227="","",ROW()-1)</f>
        <v/>
      </c>
      <c r="B227" s="2" t="n"/>
      <c r="C227" s="2" t="n"/>
      <c r="D227" s="2" t="n"/>
      <c r="E227" s="2" t="n"/>
      <c r="F227" s="2">
        <f>IF($D227="","",MID($D227,1,FIND("|",SUBSTITUTE($D227,".","|",3))-1)&amp;".x")</f>
        <v/>
      </c>
      <c r="G227" s="2" t="n"/>
      <c r="H227" s="2" t="n"/>
      <c r="I227" s="2" t="n"/>
      <c r="J227" s="2" t="n"/>
      <c r="K227" s="2" t="n"/>
      <c r="L227" s="2">
        <f>IF($D227="","",TRIM(IF(COUNTIF($D$2:$D$300,$D227)&gt;1,"重复IP ","")&amp;IF(COUNTIF('网关清单'!$B$2:$B$60,$D227)&gt;0,"撞网关 ","")&amp;IF(AND(COUNTIF($D$2:$D$300,$D227)=1,COUNTIF('网关清单'!$B$2:$B$60,$D227)=0),"OK","")))</f>
        <v/>
      </c>
      <c r="M227" s="2" t="n"/>
    </row>
    <row r="228">
      <c r="A228" s="2">
        <f>IF($D228="","",ROW()-1)</f>
        <v/>
      </c>
      <c r="B228" s="2" t="n"/>
      <c r="C228" s="2" t="n"/>
      <c r="D228" s="2" t="n"/>
      <c r="E228" s="2" t="n"/>
      <c r="F228" s="2">
        <f>IF($D228="","",MID($D228,1,FIND("|",SUBSTITUTE($D228,".","|",3))-1)&amp;".x")</f>
        <v/>
      </c>
      <c r="G228" s="2" t="n"/>
      <c r="H228" s="2" t="n"/>
      <c r="I228" s="2" t="n"/>
      <c r="J228" s="2" t="n"/>
      <c r="K228" s="2" t="n"/>
      <c r="L228" s="2">
        <f>IF($D228="","",TRIM(IF(COUNTIF($D$2:$D$300,$D228)&gt;1,"重复IP ","")&amp;IF(COUNTIF('网关清单'!$B$2:$B$60,$D228)&gt;0,"撞网关 ","")&amp;IF(AND(COUNTIF($D$2:$D$300,$D228)=1,COUNTIF('网关清单'!$B$2:$B$60,$D228)=0),"OK","")))</f>
        <v/>
      </c>
      <c r="M228" s="2" t="n"/>
    </row>
    <row r="229">
      <c r="A229" s="2">
        <f>IF($D229="","",ROW()-1)</f>
        <v/>
      </c>
      <c r="B229" s="2" t="n"/>
      <c r="C229" s="2" t="n"/>
      <c r="D229" s="2" t="n"/>
      <c r="E229" s="2" t="n"/>
      <c r="F229" s="2">
        <f>IF($D229="","",MID($D229,1,FIND("|",SUBSTITUTE($D229,".","|",3))-1)&amp;".x")</f>
        <v/>
      </c>
      <c r="G229" s="2" t="n"/>
      <c r="H229" s="2" t="n"/>
      <c r="I229" s="2" t="n"/>
      <c r="J229" s="2" t="n"/>
      <c r="K229" s="2" t="n"/>
      <c r="L229" s="2">
        <f>IF($D229="","",TRIM(IF(COUNTIF($D$2:$D$300,$D229)&gt;1,"重复IP ","")&amp;IF(COUNTIF('网关清单'!$B$2:$B$60,$D229)&gt;0,"撞网关 ","")&amp;IF(AND(COUNTIF($D$2:$D$300,$D229)=1,COUNTIF('网关清单'!$B$2:$B$60,$D229)=0),"OK","")))</f>
        <v/>
      </c>
      <c r="M229" s="2" t="n"/>
    </row>
    <row r="230">
      <c r="A230" s="2">
        <f>IF($D230="","",ROW()-1)</f>
        <v/>
      </c>
      <c r="B230" s="2" t="n"/>
      <c r="C230" s="2" t="n"/>
      <c r="D230" s="2" t="n"/>
      <c r="E230" s="2" t="n"/>
      <c r="F230" s="2">
        <f>IF($D230="","",MID($D230,1,FIND("|",SUBSTITUTE($D230,".","|",3))-1)&amp;".x")</f>
        <v/>
      </c>
      <c r="G230" s="2" t="n"/>
      <c r="H230" s="2" t="n"/>
      <c r="I230" s="2" t="n"/>
      <c r="J230" s="2" t="n"/>
      <c r="K230" s="2" t="n"/>
      <c r="L230" s="2">
        <f>IF($D230="","",TRIM(IF(COUNTIF($D$2:$D$300,$D230)&gt;1,"重复IP ","")&amp;IF(COUNTIF('网关清单'!$B$2:$B$60,$D230)&gt;0,"撞网关 ","")&amp;IF(AND(COUNTIF($D$2:$D$300,$D230)=1,COUNTIF('网关清单'!$B$2:$B$60,$D230)=0),"OK","")))</f>
        <v/>
      </c>
      <c r="M230" s="2" t="n"/>
    </row>
    <row r="231">
      <c r="A231" s="2">
        <f>IF($D231="","",ROW()-1)</f>
        <v/>
      </c>
      <c r="B231" s="2" t="n"/>
      <c r="C231" s="2" t="n"/>
      <c r="D231" s="2" t="n"/>
      <c r="E231" s="2" t="n"/>
      <c r="F231" s="2">
        <f>IF($D231="","",MID($D231,1,FIND("|",SUBSTITUTE($D231,".","|",3))-1)&amp;".x")</f>
        <v/>
      </c>
      <c r="G231" s="2" t="n"/>
      <c r="H231" s="2" t="n"/>
      <c r="I231" s="2" t="n"/>
      <c r="J231" s="2" t="n"/>
      <c r="K231" s="2" t="n"/>
      <c r="L231" s="2">
        <f>IF($D231="","",TRIM(IF(COUNTIF($D$2:$D$300,$D231)&gt;1,"重复IP ","")&amp;IF(COUNTIF('网关清单'!$B$2:$B$60,$D231)&gt;0,"撞网关 ","")&amp;IF(AND(COUNTIF($D$2:$D$300,$D231)=1,COUNTIF('网关清单'!$B$2:$B$60,$D231)=0),"OK","")))</f>
        <v/>
      </c>
      <c r="M231" s="2" t="n"/>
    </row>
    <row r="232">
      <c r="A232" s="2">
        <f>IF($D232="","",ROW()-1)</f>
        <v/>
      </c>
      <c r="B232" s="2" t="n"/>
      <c r="C232" s="2" t="n"/>
      <c r="D232" s="2" t="n"/>
      <c r="E232" s="2" t="n"/>
      <c r="F232" s="2">
        <f>IF($D232="","",MID($D232,1,FIND("|",SUBSTITUTE($D232,".","|",3))-1)&amp;".x")</f>
        <v/>
      </c>
      <c r="G232" s="2" t="n"/>
      <c r="H232" s="2" t="n"/>
      <c r="I232" s="2" t="n"/>
      <c r="J232" s="2" t="n"/>
      <c r="K232" s="2" t="n"/>
      <c r="L232" s="2">
        <f>IF($D232="","",TRIM(IF(COUNTIF($D$2:$D$300,$D232)&gt;1,"重复IP ","")&amp;IF(COUNTIF('网关清单'!$B$2:$B$60,$D232)&gt;0,"撞网关 ","")&amp;IF(AND(COUNTIF($D$2:$D$300,$D232)=1,COUNTIF('网关清单'!$B$2:$B$60,$D232)=0),"OK","")))</f>
        <v/>
      </c>
      <c r="M232" s="2" t="n"/>
    </row>
    <row r="233">
      <c r="A233" s="2">
        <f>IF($D233="","",ROW()-1)</f>
        <v/>
      </c>
      <c r="B233" s="2" t="n"/>
      <c r="C233" s="2" t="n"/>
      <c r="D233" s="2" t="n"/>
      <c r="E233" s="2" t="n"/>
      <c r="F233" s="2">
        <f>IF($D233="","",MID($D233,1,FIND("|",SUBSTITUTE($D233,".","|",3))-1)&amp;".x")</f>
        <v/>
      </c>
      <c r="G233" s="2" t="n"/>
      <c r="H233" s="2" t="n"/>
      <c r="I233" s="2" t="n"/>
      <c r="J233" s="2" t="n"/>
      <c r="K233" s="2" t="n"/>
      <c r="L233" s="2">
        <f>IF($D233="","",TRIM(IF(COUNTIF($D$2:$D$300,$D233)&gt;1,"重复IP ","")&amp;IF(COUNTIF('网关清单'!$B$2:$B$60,$D233)&gt;0,"撞网关 ","")&amp;IF(AND(COUNTIF($D$2:$D$300,$D233)=1,COUNTIF('网关清单'!$B$2:$B$60,$D233)=0),"OK","")))</f>
        <v/>
      </c>
      <c r="M233" s="2" t="n"/>
    </row>
    <row r="234">
      <c r="A234" s="2">
        <f>IF($D234="","",ROW()-1)</f>
        <v/>
      </c>
      <c r="B234" s="2" t="n"/>
      <c r="C234" s="2" t="n"/>
      <c r="D234" s="2" t="n"/>
      <c r="E234" s="2" t="n"/>
      <c r="F234" s="2">
        <f>IF($D234="","",MID($D234,1,FIND("|",SUBSTITUTE($D234,".","|",3))-1)&amp;".x")</f>
        <v/>
      </c>
      <c r="G234" s="2" t="n"/>
      <c r="H234" s="2" t="n"/>
      <c r="I234" s="2" t="n"/>
      <c r="J234" s="2" t="n"/>
      <c r="K234" s="2" t="n"/>
      <c r="L234" s="2">
        <f>IF($D234="","",TRIM(IF(COUNTIF($D$2:$D$300,$D234)&gt;1,"重复IP ","")&amp;IF(COUNTIF('网关清单'!$B$2:$B$60,$D234)&gt;0,"撞网关 ","")&amp;IF(AND(COUNTIF($D$2:$D$300,$D234)=1,COUNTIF('网关清单'!$B$2:$B$60,$D234)=0),"OK","")))</f>
        <v/>
      </c>
      <c r="M234" s="2" t="n"/>
    </row>
    <row r="235">
      <c r="A235" s="2">
        <f>IF($D235="","",ROW()-1)</f>
        <v/>
      </c>
      <c r="B235" s="2" t="n"/>
      <c r="C235" s="2" t="n"/>
      <c r="D235" s="2" t="n"/>
      <c r="E235" s="2" t="n"/>
      <c r="F235" s="2">
        <f>IF($D235="","",MID($D235,1,FIND("|",SUBSTITUTE($D235,".","|",3))-1)&amp;".x")</f>
        <v/>
      </c>
      <c r="G235" s="2" t="n"/>
      <c r="H235" s="2" t="n"/>
      <c r="I235" s="2" t="n"/>
      <c r="J235" s="2" t="n"/>
      <c r="K235" s="2" t="n"/>
      <c r="L235" s="2">
        <f>IF($D235="","",TRIM(IF(COUNTIF($D$2:$D$300,$D235)&gt;1,"重复IP ","")&amp;IF(COUNTIF('网关清单'!$B$2:$B$60,$D235)&gt;0,"撞网关 ","")&amp;IF(AND(COUNTIF($D$2:$D$300,$D235)=1,COUNTIF('网关清单'!$B$2:$B$60,$D235)=0),"OK","")))</f>
        <v/>
      </c>
      <c r="M235" s="2" t="n"/>
    </row>
    <row r="236">
      <c r="A236" s="2">
        <f>IF($D236="","",ROW()-1)</f>
        <v/>
      </c>
      <c r="B236" s="2" t="n"/>
      <c r="C236" s="2" t="n"/>
      <c r="D236" s="2" t="n"/>
      <c r="E236" s="2" t="n"/>
      <c r="F236" s="2">
        <f>IF($D236="","",MID($D236,1,FIND("|",SUBSTITUTE($D236,".","|",3))-1)&amp;".x")</f>
        <v/>
      </c>
      <c r="G236" s="2" t="n"/>
      <c r="H236" s="2" t="n"/>
      <c r="I236" s="2" t="n"/>
      <c r="J236" s="2" t="n"/>
      <c r="K236" s="2" t="n"/>
      <c r="L236" s="2">
        <f>IF($D236="","",TRIM(IF(COUNTIF($D$2:$D$300,$D236)&gt;1,"重复IP ","")&amp;IF(COUNTIF('网关清单'!$B$2:$B$60,$D236)&gt;0,"撞网关 ","")&amp;IF(AND(COUNTIF($D$2:$D$300,$D236)=1,COUNTIF('网关清单'!$B$2:$B$60,$D236)=0),"OK","")))</f>
        <v/>
      </c>
      <c r="M236" s="2" t="n"/>
    </row>
    <row r="237">
      <c r="A237" s="2">
        <f>IF($D237="","",ROW()-1)</f>
        <v/>
      </c>
      <c r="B237" s="2" t="n"/>
      <c r="C237" s="2" t="n"/>
      <c r="D237" s="2" t="n"/>
      <c r="E237" s="2" t="n"/>
      <c r="F237" s="2">
        <f>IF($D237="","",MID($D237,1,FIND("|",SUBSTITUTE($D237,".","|",3))-1)&amp;".x")</f>
        <v/>
      </c>
      <c r="G237" s="2" t="n"/>
      <c r="H237" s="2" t="n"/>
      <c r="I237" s="2" t="n"/>
      <c r="J237" s="2" t="n"/>
      <c r="K237" s="2" t="n"/>
      <c r="L237" s="2">
        <f>IF($D237="","",TRIM(IF(COUNTIF($D$2:$D$300,$D237)&gt;1,"重复IP ","")&amp;IF(COUNTIF('网关清单'!$B$2:$B$60,$D237)&gt;0,"撞网关 ","")&amp;IF(AND(COUNTIF($D$2:$D$300,$D237)=1,COUNTIF('网关清单'!$B$2:$B$60,$D237)=0),"OK","")))</f>
        <v/>
      </c>
      <c r="M237" s="2" t="n"/>
    </row>
    <row r="238">
      <c r="A238" s="2">
        <f>IF($D238="","",ROW()-1)</f>
        <v/>
      </c>
      <c r="B238" s="2" t="n"/>
      <c r="C238" s="2" t="n"/>
      <c r="D238" s="2" t="n"/>
      <c r="E238" s="2" t="n"/>
      <c r="F238" s="2">
        <f>IF($D238="","",MID($D238,1,FIND("|",SUBSTITUTE($D238,".","|",3))-1)&amp;".x")</f>
        <v/>
      </c>
      <c r="G238" s="2" t="n"/>
      <c r="H238" s="2" t="n"/>
      <c r="I238" s="2" t="n"/>
      <c r="J238" s="2" t="n"/>
      <c r="K238" s="2" t="n"/>
      <c r="L238" s="2">
        <f>IF($D238="","",TRIM(IF(COUNTIF($D$2:$D$300,$D238)&gt;1,"重复IP ","")&amp;IF(COUNTIF('网关清单'!$B$2:$B$60,$D238)&gt;0,"撞网关 ","")&amp;IF(AND(COUNTIF($D$2:$D$300,$D238)=1,COUNTIF('网关清单'!$B$2:$B$60,$D238)=0),"OK","")))</f>
        <v/>
      </c>
      <c r="M238" s="2" t="n"/>
    </row>
    <row r="239">
      <c r="A239" s="2">
        <f>IF($D239="","",ROW()-1)</f>
        <v/>
      </c>
      <c r="B239" s="2" t="n"/>
      <c r="C239" s="2" t="n"/>
      <c r="D239" s="2" t="n"/>
      <c r="E239" s="2" t="n"/>
      <c r="F239" s="2">
        <f>IF($D239="","",MID($D239,1,FIND("|",SUBSTITUTE($D239,".","|",3))-1)&amp;".x")</f>
        <v/>
      </c>
      <c r="G239" s="2" t="n"/>
      <c r="H239" s="2" t="n"/>
      <c r="I239" s="2" t="n"/>
      <c r="J239" s="2" t="n"/>
      <c r="K239" s="2" t="n"/>
      <c r="L239" s="2">
        <f>IF($D239="","",TRIM(IF(COUNTIF($D$2:$D$300,$D239)&gt;1,"重复IP ","")&amp;IF(COUNTIF('网关清单'!$B$2:$B$60,$D239)&gt;0,"撞网关 ","")&amp;IF(AND(COUNTIF($D$2:$D$300,$D239)=1,COUNTIF('网关清单'!$B$2:$B$60,$D239)=0),"OK","")))</f>
        <v/>
      </c>
      <c r="M239" s="2" t="n"/>
    </row>
    <row r="240">
      <c r="A240" s="2">
        <f>IF($D240="","",ROW()-1)</f>
        <v/>
      </c>
      <c r="B240" s="2" t="n"/>
      <c r="C240" s="2" t="n"/>
      <c r="D240" s="2" t="n"/>
      <c r="E240" s="2" t="n"/>
      <c r="F240" s="2">
        <f>IF($D240="","",MID($D240,1,FIND("|",SUBSTITUTE($D240,".","|",3))-1)&amp;".x")</f>
        <v/>
      </c>
      <c r="G240" s="2" t="n"/>
      <c r="H240" s="2" t="n"/>
      <c r="I240" s="2" t="n"/>
      <c r="J240" s="2" t="n"/>
      <c r="K240" s="2" t="n"/>
      <c r="L240" s="2">
        <f>IF($D240="","",TRIM(IF(COUNTIF($D$2:$D$300,$D240)&gt;1,"重复IP ","")&amp;IF(COUNTIF('网关清单'!$B$2:$B$60,$D240)&gt;0,"撞网关 ","")&amp;IF(AND(COUNTIF($D$2:$D$300,$D240)=1,COUNTIF('网关清单'!$B$2:$B$60,$D240)=0),"OK","")))</f>
        <v/>
      </c>
      <c r="M240" s="2" t="n"/>
    </row>
    <row r="241">
      <c r="A241" s="2">
        <f>IF($D241="","",ROW()-1)</f>
        <v/>
      </c>
      <c r="B241" s="2" t="n"/>
      <c r="C241" s="2" t="n"/>
      <c r="D241" s="2" t="n"/>
      <c r="E241" s="2" t="n"/>
      <c r="F241" s="2">
        <f>IF($D241="","",MID($D241,1,FIND("|",SUBSTITUTE($D241,".","|",3))-1)&amp;".x")</f>
        <v/>
      </c>
      <c r="G241" s="2" t="n"/>
      <c r="H241" s="2" t="n"/>
      <c r="I241" s="2" t="n"/>
      <c r="J241" s="2" t="n"/>
      <c r="K241" s="2" t="n"/>
      <c r="L241" s="2">
        <f>IF($D241="","",TRIM(IF(COUNTIF($D$2:$D$300,$D241)&gt;1,"重复IP ","")&amp;IF(COUNTIF('网关清单'!$B$2:$B$60,$D241)&gt;0,"撞网关 ","")&amp;IF(AND(COUNTIF($D$2:$D$300,$D241)=1,COUNTIF('网关清单'!$B$2:$B$60,$D241)=0),"OK","")))</f>
        <v/>
      </c>
      <c r="M241" s="2" t="n"/>
    </row>
    <row r="242">
      <c r="A242" s="2">
        <f>IF($D242="","",ROW()-1)</f>
        <v/>
      </c>
      <c r="B242" s="2" t="n"/>
      <c r="C242" s="2" t="n"/>
      <c r="D242" s="2" t="n"/>
      <c r="E242" s="2" t="n"/>
      <c r="F242" s="2">
        <f>IF($D242="","",MID($D242,1,FIND("|",SUBSTITUTE($D242,".","|",3))-1)&amp;".x")</f>
        <v/>
      </c>
      <c r="G242" s="2" t="n"/>
      <c r="H242" s="2" t="n"/>
      <c r="I242" s="2" t="n"/>
      <c r="J242" s="2" t="n"/>
      <c r="K242" s="2" t="n"/>
      <c r="L242" s="2">
        <f>IF($D242="","",TRIM(IF(COUNTIF($D$2:$D$300,$D242)&gt;1,"重复IP ","")&amp;IF(COUNTIF('网关清单'!$B$2:$B$60,$D242)&gt;0,"撞网关 ","")&amp;IF(AND(COUNTIF($D$2:$D$300,$D242)=1,COUNTIF('网关清单'!$B$2:$B$60,$D242)=0),"OK","")))</f>
        <v/>
      </c>
      <c r="M242" s="2" t="n"/>
    </row>
    <row r="243">
      <c r="A243" s="2">
        <f>IF($D243="","",ROW()-1)</f>
        <v/>
      </c>
      <c r="B243" s="2" t="n"/>
      <c r="C243" s="2" t="n"/>
      <c r="D243" s="2" t="n"/>
      <c r="E243" s="2" t="n"/>
      <c r="F243" s="2">
        <f>IF($D243="","",MID($D243,1,FIND("|",SUBSTITUTE($D243,".","|",3))-1)&amp;".x")</f>
        <v/>
      </c>
      <c r="G243" s="2" t="n"/>
      <c r="H243" s="2" t="n"/>
      <c r="I243" s="2" t="n"/>
      <c r="J243" s="2" t="n"/>
      <c r="K243" s="2" t="n"/>
      <c r="L243" s="2">
        <f>IF($D243="","",TRIM(IF(COUNTIF($D$2:$D$300,$D243)&gt;1,"重复IP ","")&amp;IF(COUNTIF('网关清单'!$B$2:$B$60,$D243)&gt;0,"撞网关 ","")&amp;IF(AND(COUNTIF($D$2:$D$300,$D243)=1,COUNTIF('网关清单'!$B$2:$B$60,$D243)=0),"OK","")))</f>
        <v/>
      </c>
      <c r="M243" s="2" t="n"/>
    </row>
    <row r="244">
      <c r="A244" s="2">
        <f>IF($D244="","",ROW()-1)</f>
        <v/>
      </c>
      <c r="B244" s="2" t="n"/>
      <c r="C244" s="2" t="n"/>
      <c r="D244" s="2" t="n"/>
      <c r="E244" s="2" t="n"/>
      <c r="F244" s="2">
        <f>IF($D244="","",MID($D244,1,FIND("|",SUBSTITUTE($D244,".","|",3))-1)&amp;".x")</f>
        <v/>
      </c>
      <c r="G244" s="2" t="n"/>
      <c r="H244" s="2" t="n"/>
      <c r="I244" s="2" t="n"/>
      <c r="J244" s="2" t="n"/>
      <c r="K244" s="2" t="n"/>
      <c r="L244" s="2">
        <f>IF($D244="","",TRIM(IF(COUNTIF($D$2:$D$300,$D244)&gt;1,"重复IP ","")&amp;IF(COUNTIF('网关清单'!$B$2:$B$60,$D244)&gt;0,"撞网关 ","")&amp;IF(AND(COUNTIF($D$2:$D$300,$D244)=1,COUNTIF('网关清单'!$B$2:$B$60,$D244)=0),"OK","")))</f>
        <v/>
      </c>
      <c r="M244" s="2" t="n"/>
    </row>
    <row r="245">
      <c r="A245" s="2">
        <f>IF($D245="","",ROW()-1)</f>
        <v/>
      </c>
      <c r="B245" s="2" t="n"/>
      <c r="C245" s="2" t="n"/>
      <c r="D245" s="2" t="n"/>
      <c r="E245" s="2" t="n"/>
      <c r="F245" s="2">
        <f>IF($D245="","",MID($D245,1,FIND("|",SUBSTITUTE($D245,".","|",3))-1)&amp;".x")</f>
        <v/>
      </c>
      <c r="G245" s="2" t="n"/>
      <c r="H245" s="2" t="n"/>
      <c r="I245" s="2" t="n"/>
      <c r="J245" s="2" t="n"/>
      <c r="K245" s="2" t="n"/>
      <c r="L245" s="2">
        <f>IF($D245="","",TRIM(IF(COUNTIF($D$2:$D$300,$D245)&gt;1,"重复IP ","")&amp;IF(COUNTIF('网关清单'!$B$2:$B$60,$D245)&gt;0,"撞网关 ","")&amp;IF(AND(COUNTIF($D$2:$D$300,$D245)=1,COUNTIF('网关清单'!$B$2:$B$60,$D245)=0),"OK","")))</f>
        <v/>
      </c>
      <c r="M245" s="2" t="n"/>
    </row>
    <row r="246">
      <c r="A246" s="2">
        <f>IF($D246="","",ROW()-1)</f>
        <v/>
      </c>
      <c r="B246" s="2" t="n"/>
      <c r="C246" s="2" t="n"/>
      <c r="D246" s="2" t="n"/>
      <c r="E246" s="2" t="n"/>
      <c r="F246" s="2">
        <f>IF($D246="","",MID($D246,1,FIND("|",SUBSTITUTE($D246,".","|",3))-1)&amp;".x")</f>
        <v/>
      </c>
      <c r="G246" s="2" t="n"/>
      <c r="H246" s="2" t="n"/>
      <c r="I246" s="2" t="n"/>
      <c r="J246" s="2" t="n"/>
      <c r="K246" s="2" t="n"/>
      <c r="L246" s="2">
        <f>IF($D246="","",TRIM(IF(COUNTIF($D$2:$D$300,$D246)&gt;1,"重复IP ","")&amp;IF(COUNTIF('网关清单'!$B$2:$B$60,$D246)&gt;0,"撞网关 ","")&amp;IF(AND(COUNTIF($D$2:$D$300,$D246)=1,COUNTIF('网关清单'!$B$2:$B$60,$D246)=0),"OK","")))</f>
        <v/>
      </c>
      <c r="M246" s="2" t="n"/>
    </row>
    <row r="247">
      <c r="A247" s="2">
        <f>IF($D247="","",ROW()-1)</f>
        <v/>
      </c>
      <c r="B247" s="2" t="n"/>
      <c r="C247" s="2" t="n"/>
      <c r="D247" s="2" t="n"/>
      <c r="E247" s="2" t="n"/>
      <c r="F247" s="2">
        <f>IF($D247="","",MID($D247,1,FIND("|",SUBSTITUTE($D247,".","|",3))-1)&amp;".x")</f>
        <v/>
      </c>
      <c r="G247" s="2" t="n"/>
      <c r="H247" s="2" t="n"/>
      <c r="I247" s="2" t="n"/>
      <c r="J247" s="2" t="n"/>
      <c r="K247" s="2" t="n"/>
      <c r="L247" s="2">
        <f>IF($D247="","",TRIM(IF(COUNTIF($D$2:$D$300,$D247)&gt;1,"重复IP ","")&amp;IF(COUNTIF('网关清单'!$B$2:$B$60,$D247)&gt;0,"撞网关 ","")&amp;IF(AND(COUNTIF($D$2:$D$300,$D247)=1,COUNTIF('网关清单'!$B$2:$B$60,$D247)=0),"OK","")))</f>
        <v/>
      </c>
      <c r="M247" s="2" t="n"/>
    </row>
    <row r="248">
      <c r="A248" s="2">
        <f>IF($D248="","",ROW()-1)</f>
        <v/>
      </c>
      <c r="B248" s="2" t="n"/>
      <c r="C248" s="2" t="n"/>
      <c r="D248" s="2" t="n"/>
      <c r="E248" s="2" t="n"/>
      <c r="F248" s="2">
        <f>IF($D248="","",MID($D248,1,FIND("|",SUBSTITUTE($D248,".","|",3))-1)&amp;".x")</f>
        <v/>
      </c>
      <c r="G248" s="2" t="n"/>
      <c r="H248" s="2" t="n"/>
      <c r="I248" s="2" t="n"/>
      <c r="J248" s="2" t="n"/>
      <c r="K248" s="2" t="n"/>
      <c r="L248" s="2">
        <f>IF($D248="","",TRIM(IF(COUNTIF($D$2:$D$300,$D248)&gt;1,"重复IP ","")&amp;IF(COUNTIF('网关清单'!$B$2:$B$60,$D248)&gt;0,"撞网关 ","")&amp;IF(AND(COUNTIF($D$2:$D$300,$D248)=1,COUNTIF('网关清单'!$B$2:$B$60,$D248)=0),"OK","")))</f>
        <v/>
      </c>
      <c r="M248" s="2" t="n"/>
    </row>
    <row r="249">
      <c r="A249" s="2">
        <f>IF($D249="","",ROW()-1)</f>
        <v/>
      </c>
      <c r="B249" s="2" t="n"/>
      <c r="C249" s="2" t="n"/>
      <c r="D249" s="2" t="n"/>
      <c r="E249" s="2" t="n"/>
      <c r="F249" s="2">
        <f>IF($D249="","",MID($D249,1,FIND("|",SUBSTITUTE($D249,".","|",3))-1)&amp;".x")</f>
        <v/>
      </c>
      <c r="G249" s="2" t="n"/>
      <c r="H249" s="2" t="n"/>
      <c r="I249" s="2" t="n"/>
      <c r="J249" s="2" t="n"/>
      <c r="K249" s="2" t="n"/>
      <c r="L249" s="2">
        <f>IF($D249="","",TRIM(IF(COUNTIF($D$2:$D$300,$D249)&gt;1,"重复IP ","")&amp;IF(COUNTIF('网关清单'!$B$2:$B$60,$D249)&gt;0,"撞网关 ","")&amp;IF(AND(COUNTIF($D$2:$D$300,$D249)=1,COUNTIF('网关清单'!$B$2:$B$60,$D249)=0),"OK","")))</f>
        <v/>
      </c>
      <c r="M249" s="2" t="n"/>
    </row>
    <row r="250">
      <c r="A250" s="2">
        <f>IF($D250="","",ROW()-1)</f>
        <v/>
      </c>
      <c r="B250" s="2" t="n"/>
      <c r="C250" s="2" t="n"/>
      <c r="D250" s="2" t="n"/>
      <c r="E250" s="2" t="n"/>
      <c r="F250" s="2">
        <f>IF($D250="","",MID($D250,1,FIND("|",SUBSTITUTE($D250,".","|",3))-1)&amp;".x")</f>
        <v/>
      </c>
      <c r="G250" s="2" t="n"/>
      <c r="H250" s="2" t="n"/>
      <c r="I250" s="2" t="n"/>
      <c r="J250" s="2" t="n"/>
      <c r="K250" s="2" t="n"/>
      <c r="L250" s="2">
        <f>IF($D250="","",TRIM(IF(COUNTIF($D$2:$D$300,$D250)&gt;1,"重复IP ","")&amp;IF(COUNTIF('网关清单'!$B$2:$B$60,$D250)&gt;0,"撞网关 ","")&amp;IF(AND(COUNTIF($D$2:$D$300,$D250)=1,COUNTIF('网关清单'!$B$2:$B$60,$D250)=0),"OK","")))</f>
        <v/>
      </c>
      <c r="M250" s="2" t="n"/>
    </row>
    <row r="251">
      <c r="A251" s="2">
        <f>IF($D251="","",ROW()-1)</f>
        <v/>
      </c>
      <c r="B251" s="2" t="n"/>
      <c r="C251" s="2" t="n"/>
      <c r="D251" s="2" t="n"/>
      <c r="E251" s="2" t="n"/>
      <c r="F251" s="2">
        <f>IF($D251="","",MID($D251,1,FIND("|",SUBSTITUTE($D251,".","|",3))-1)&amp;".x")</f>
        <v/>
      </c>
      <c r="G251" s="2" t="n"/>
      <c r="H251" s="2" t="n"/>
      <c r="I251" s="2" t="n"/>
      <c r="J251" s="2" t="n"/>
      <c r="K251" s="2" t="n"/>
      <c r="L251" s="2">
        <f>IF($D251="","",TRIM(IF(COUNTIF($D$2:$D$300,$D251)&gt;1,"重复IP ","")&amp;IF(COUNTIF('网关清单'!$B$2:$B$60,$D251)&gt;0,"撞网关 ","")&amp;IF(AND(COUNTIF($D$2:$D$300,$D251)=1,COUNTIF('网关清单'!$B$2:$B$60,$D251)=0),"OK","")))</f>
        <v/>
      </c>
      <c r="M251" s="2" t="n"/>
    </row>
    <row r="252">
      <c r="A252" s="2">
        <f>IF($D252="","",ROW()-1)</f>
        <v/>
      </c>
      <c r="B252" s="2" t="n"/>
      <c r="C252" s="2" t="n"/>
      <c r="D252" s="2" t="n"/>
      <c r="E252" s="2" t="n"/>
      <c r="F252" s="2">
        <f>IF($D252="","",MID($D252,1,FIND("|",SUBSTITUTE($D252,".","|",3))-1)&amp;".x")</f>
        <v/>
      </c>
      <c r="G252" s="2" t="n"/>
      <c r="H252" s="2" t="n"/>
      <c r="I252" s="2" t="n"/>
      <c r="J252" s="2" t="n"/>
      <c r="K252" s="2" t="n"/>
      <c r="L252" s="2">
        <f>IF($D252="","",TRIM(IF(COUNTIF($D$2:$D$300,$D252)&gt;1,"重复IP ","")&amp;IF(COUNTIF('网关清单'!$B$2:$B$60,$D252)&gt;0,"撞网关 ","")&amp;IF(AND(COUNTIF($D$2:$D$300,$D252)=1,COUNTIF('网关清单'!$B$2:$B$60,$D252)=0),"OK","")))</f>
        <v/>
      </c>
      <c r="M252" s="2" t="n"/>
    </row>
    <row r="253">
      <c r="A253" s="2">
        <f>IF($D253="","",ROW()-1)</f>
        <v/>
      </c>
      <c r="B253" s="2" t="n"/>
      <c r="C253" s="2" t="n"/>
      <c r="D253" s="2" t="n"/>
      <c r="E253" s="2" t="n"/>
      <c r="F253" s="2">
        <f>IF($D253="","",MID($D253,1,FIND("|",SUBSTITUTE($D253,".","|",3))-1)&amp;".x")</f>
        <v/>
      </c>
      <c r="G253" s="2" t="n"/>
      <c r="H253" s="2" t="n"/>
      <c r="I253" s="2" t="n"/>
      <c r="J253" s="2" t="n"/>
      <c r="K253" s="2" t="n"/>
      <c r="L253" s="2">
        <f>IF($D253="","",TRIM(IF(COUNTIF($D$2:$D$300,$D253)&gt;1,"重复IP ","")&amp;IF(COUNTIF('网关清单'!$B$2:$B$60,$D253)&gt;0,"撞网关 ","")&amp;IF(AND(COUNTIF($D$2:$D$300,$D253)=1,COUNTIF('网关清单'!$B$2:$B$60,$D253)=0),"OK","")))</f>
        <v/>
      </c>
      <c r="M253" s="2" t="n"/>
    </row>
    <row r="254">
      <c r="A254" s="2">
        <f>IF($D254="","",ROW()-1)</f>
        <v/>
      </c>
      <c r="B254" s="2" t="n"/>
      <c r="C254" s="2" t="n"/>
      <c r="D254" s="2" t="n"/>
      <c r="E254" s="2" t="n"/>
      <c r="F254" s="2">
        <f>IF($D254="","",MID($D254,1,FIND("|",SUBSTITUTE($D254,".","|",3))-1)&amp;".x")</f>
        <v/>
      </c>
      <c r="G254" s="2" t="n"/>
      <c r="H254" s="2" t="n"/>
      <c r="I254" s="2" t="n"/>
      <c r="J254" s="2" t="n"/>
      <c r="K254" s="2" t="n"/>
      <c r="L254" s="2">
        <f>IF($D254="","",TRIM(IF(COUNTIF($D$2:$D$300,$D254)&gt;1,"重复IP ","")&amp;IF(COUNTIF('网关清单'!$B$2:$B$60,$D254)&gt;0,"撞网关 ","")&amp;IF(AND(COUNTIF($D$2:$D$300,$D254)=1,COUNTIF('网关清单'!$B$2:$B$60,$D254)=0),"OK","")))</f>
        <v/>
      </c>
      <c r="M254" s="2" t="n"/>
    </row>
    <row r="255">
      <c r="A255" s="2">
        <f>IF($D255="","",ROW()-1)</f>
        <v/>
      </c>
      <c r="B255" s="2" t="n"/>
      <c r="C255" s="2" t="n"/>
      <c r="D255" s="2" t="n"/>
      <c r="E255" s="2" t="n"/>
      <c r="F255" s="2">
        <f>IF($D255="","",MID($D255,1,FIND("|",SUBSTITUTE($D255,".","|",3))-1)&amp;".x")</f>
        <v/>
      </c>
      <c r="G255" s="2" t="n"/>
      <c r="H255" s="2" t="n"/>
      <c r="I255" s="2" t="n"/>
      <c r="J255" s="2" t="n"/>
      <c r="K255" s="2" t="n"/>
      <c r="L255" s="2">
        <f>IF($D255="","",TRIM(IF(COUNTIF($D$2:$D$300,$D255)&gt;1,"重复IP ","")&amp;IF(COUNTIF('网关清单'!$B$2:$B$60,$D255)&gt;0,"撞网关 ","")&amp;IF(AND(COUNTIF($D$2:$D$300,$D255)=1,COUNTIF('网关清单'!$B$2:$B$60,$D255)=0),"OK","")))</f>
        <v/>
      </c>
      <c r="M255" s="2" t="n"/>
    </row>
    <row r="256">
      <c r="A256" s="2">
        <f>IF($D256="","",ROW()-1)</f>
        <v/>
      </c>
      <c r="B256" s="2" t="n"/>
      <c r="C256" s="2" t="n"/>
      <c r="D256" s="2" t="n"/>
      <c r="E256" s="2" t="n"/>
      <c r="F256" s="2">
        <f>IF($D256="","",MID($D256,1,FIND("|",SUBSTITUTE($D256,".","|",3))-1)&amp;".x")</f>
        <v/>
      </c>
      <c r="G256" s="2" t="n"/>
      <c r="H256" s="2" t="n"/>
      <c r="I256" s="2" t="n"/>
      <c r="J256" s="2" t="n"/>
      <c r="K256" s="2" t="n"/>
      <c r="L256" s="2">
        <f>IF($D256="","",TRIM(IF(COUNTIF($D$2:$D$300,$D256)&gt;1,"重复IP ","")&amp;IF(COUNTIF('网关清单'!$B$2:$B$60,$D256)&gt;0,"撞网关 ","")&amp;IF(AND(COUNTIF($D$2:$D$300,$D256)=1,COUNTIF('网关清单'!$B$2:$B$60,$D256)=0),"OK","")))</f>
        <v/>
      </c>
      <c r="M256" s="2" t="n"/>
    </row>
    <row r="257">
      <c r="A257" s="2">
        <f>IF($D257="","",ROW()-1)</f>
        <v/>
      </c>
      <c r="B257" s="2" t="n"/>
      <c r="C257" s="2" t="n"/>
      <c r="D257" s="2" t="n"/>
      <c r="E257" s="2" t="n"/>
      <c r="F257" s="2">
        <f>IF($D257="","",MID($D257,1,FIND("|",SUBSTITUTE($D257,".","|",3))-1)&amp;".x")</f>
        <v/>
      </c>
      <c r="G257" s="2" t="n"/>
      <c r="H257" s="2" t="n"/>
      <c r="I257" s="2" t="n"/>
      <c r="J257" s="2" t="n"/>
      <c r="K257" s="2" t="n"/>
      <c r="L257" s="2">
        <f>IF($D257="","",TRIM(IF(COUNTIF($D$2:$D$300,$D257)&gt;1,"重复IP ","")&amp;IF(COUNTIF('网关清单'!$B$2:$B$60,$D257)&gt;0,"撞网关 ","")&amp;IF(AND(COUNTIF($D$2:$D$300,$D257)=1,COUNTIF('网关清单'!$B$2:$B$60,$D257)=0),"OK","")))</f>
        <v/>
      </c>
      <c r="M257" s="2" t="n"/>
    </row>
    <row r="258">
      <c r="A258" s="2">
        <f>IF($D258="","",ROW()-1)</f>
        <v/>
      </c>
      <c r="B258" s="2" t="n"/>
      <c r="C258" s="2" t="n"/>
      <c r="D258" s="2" t="n"/>
      <c r="E258" s="2" t="n"/>
      <c r="F258" s="2">
        <f>IF($D258="","",MID($D258,1,FIND("|",SUBSTITUTE($D258,".","|",3))-1)&amp;".x")</f>
        <v/>
      </c>
      <c r="G258" s="2" t="n"/>
      <c r="H258" s="2" t="n"/>
      <c r="I258" s="2" t="n"/>
      <c r="J258" s="2" t="n"/>
      <c r="K258" s="2" t="n"/>
      <c r="L258" s="2">
        <f>IF($D258="","",TRIM(IF(COUNTIF($D$2:$D$300,$D258)&gt;1,"重复IP ","")&amp;IF(COUNTIF('网关清单'!$B$2:$B$60,$D258)&gt;0,"撞网关 ","")&amp;IF(AND(COUNTIF($D$2:$D$300,$D258)=1,COUNTIF('网关清单'!$B$2:$B$60,$D258)=0),"OK","")))</f>
        <v/>
      </c>
      <c r="M258" s="2" t="n"/>
    </row>
    <row r="259">
      <c r="A259" s="2">
        <f>IF($D259="","",ROW()-1)</f>
        <v/>
      </c>
      <c r="B259" s="2" t="n"/>
      <c r="C259" s="2" t="n"/>
      <c r="D259" s="2" t="n"/>
      <c r="E259" s="2" t="n"/>
      <c r="F259" s="2">
        <f>IF($D259="","",MID($D259,1,FIND("|",SUBSTITUTE($D259,".","|",3))-1)&amp;".x")</f>
        <v/>
      </c>
      <c r="G259" s="2" t="n"/>
      <c r="H259" s="2" t="n"/>
      <c r="I259" s="2" t="n"/>
      <c r="J259" s="2" t="n"/>
      <c r="K259" s="2" t="n"/>
      <c r="L259" s="2">
        <f>IF($D259="","",TRIM(IF(COUNTIF($D$2:$D$300,$D259)&gt;1,"重复IP ","")&amp;IF(COUNTIF('网关清单'!$B$2:$B$60,$D259)&gt;0,"撞网关 ","")&amp;IF(AND(COUNTIF($D$2:$D$300,$D259)=1,COUNTIF('网关清单'!$B$2:$B$60,$D259)=0),"OK","")))</f>
        <v/>
      </c>
      <c r="M259" s="2" t="n"/>
    </row>
    <row r="260">
      <c r="A260" s="2">
        <f>IF($D260="","",ROW()-1)</f>
        <v/>
      </c>
      <c r="B260" s="2" t="n"/>
      <c r="C260" s="2" t="n"/>
      <c r="D260" s="2" t="n"/>
      <c r="E260" s="2" t="n"/>
      <c r="F260" s="2">
        <f>IF($D260="","",MID($D260,1,FIND("|",SUBSTITUTE($D260,".","|",3))-1)&amp;".x")</f>
        <v/>
      </c>
      <c r="G260" s="2" t="n"/>
      <c r="H260" s="2" t="n"/>
      <c r="I260" s="2" t="n"/>
      <c r="J260" s="2" t="n"/>
      <c r="K260" s="2" t="n"/>
      <c r="L260" s="2">
        <f>IF($D260="","",TRIM(IF(COUNTIF($D$2:$D$300,$D260)&gt;1,"重复IP ","")&amp;IF(COUNTIF('网关清单'!$B$2:$B$60,$D260)&gt;0,"撞网关 ","")&amp;IF(AND(COUNTIF($D$2:$D$300,$D260)=1,COUNTIF('网关清单'!$B$2:$B$60,$D260)=0),"OK","")))</f>
        <v/>
      </c>
      <c r="M260" s="2" t="n"/>
    </row>
    <row r="261">
      <c r="A261" s="2">
        <f>IF($D261="","",ROW()-1)</f>
        <v/>
      </c>
      <c r="B261" s="2" t="n"/>
      <c r="C261" s="2" t="n"/>
      <c r="D261" s="2" t="n"/>
      <c r="E261" s="2" t="n"/>
      <c r="F261" s="2">
        <f>IF($D261="","",MID($D261,1,FIND("|",SUBSTITUTE($D261,".","|",3))-1)&amp;".x")</f>
        <v/>
      </c>
      <c r="G261" s="2" t="n"/>
      <c r="H261" s="2" t="n"/>
      <c r="I261" s="2" t="n"/>
      <c r="J261" s="2" t="n"/>
      <c r="K261" s="2" t="n"/>
      <c r="L261" s="2">
        <f>IF($D261="","",TRIM(IF(COUNTIF($D$2:$D$300,$D261)&gt;1,"重复IP ","")&amp;IF(COUNTIF('网关清单'!$B$2:$B$60,$D261)&gt;0,"撞网关 ","")&amp;IF(AND(COUNTIF($D$2:$D$300,$D261)=1,COUNTIF('网关清单'!$B$2:$B$60,$D261)=0),"OK","")))</f>
        <v/>
      </c>
      <c r="M261" s="2" t="n"/>
    </row>
    <row r="262">
      <c r="A262" s="2">
        <f>IF($D262="","",ROW()-1)</f>
        <v/>
      </c>
      <c r="B262" s="2" t="n"/>
      <c r="C262" s="2" t="n"/>
      <c r="D262" s="2" t="n"/>
      <c r="E262" s="2" t="n"/>
      <c r="F262" s="2">
        <f>IF($D262="","",MID($D262,1,FIND("|",SUBSTITUTE($D262,".","|",3))-1)&amp;".x")</f>
        <v/>
      </c>
      <c r="G262" s="2" t="n"/>
      <c r="H262" s="2" t="n"/>
      <c r="I262" s="2" t="n"/>
      <c r="J262" s="2" t="n"/>
      <c r="K262" s="2" t="n"/>
      <c r="L262" s="2">
        <f>IF($D262="","",TRIM(IF(COUNTIF($D$2:$D$300,$D262)&gt;1,"重复IP ","")&amp;IF(COUNTIF('网关清单'!$B$2:$B$60,$D262)&gt;0,"撞网关 ","")&amp;IF(AND(COUNTIF($D$2:$D$300,$D262)=1,COUNTIF('网关清单'!$B$2:$B$60,$D262)=0),"OK","")))</f>
        <v/>
      </c>
      <c r="M262" s="2" t="n"/>
    </row>
    <row r="263">
      <c r="A263" s="2">
        <f>IF($D263="","",ROW()-1)</f>
        <v/>
      </c>
      <c r="B263" s="2" t="n"/>
      <c r="C263" s="2" t="n"/>
      <c r="D263" s="2" t="n"/>
      <c r="E263" s="2" t="n"/>
      <c r="F263" s="2">
        <f>IF($D263="","",MID($D263,1,FIND("|",SUBSTITUTE($D263,".","|",3))-1)&amp;".x")</f>
        <v/>
      </c>
      <c r="G263" s="2" t="n"/>
      <c r="H263" s="2" t="n"/>
      <c r="I263" s="2" t="n"/>
      <c r="J263" s="2" t="n"/>
      <c r="K263" s="2" t="n"/>
      <c r="L263" s="2">
        <f>IF($D263="","",TRIM(IF(COUNTIF($D$2:$D$300,$D263)&gt;1,"重复IP ","")&amp;IF(COUNTIF('网关清单'!$B$2:$B$60,$D263)&gt;0,"撞网关 ","")&amp;IF(AND(COUNTIF($D$2:$D$300,$D263)=1,COUNTIF('网关清单'!$B$2:$B$60,$D263)=0),"OK","")))</f>
        <v/>
      </c>
      <c r="M263" s="2" t="n"/>
    </row>
    <row r="264">
      <c r="A264" s="2">
        <f>IF($D264="","",ROW()-1)</f>
        <v/>
      </c>
      <c r="B264" s="2" t="n"/>
      <c r="C264" s="2" t="n"/>
      <c r="D264" s="2" t="n"/>
      <c r="E264" s="2" t="n"/>
      <c r="F264" s="2">
        <f>IF($D264="","",MID($D264,1,FIND("|",SUBSTITUTE($D264,".","|",3))-1)&amp;".x")</f>
        <v/>
      </c>
      <c r="G264" s="2" t="n"/>
      <c r="H264" s="2" t="n"/>
      <c r="I264" s="2" t="n"/>
      <c r="J264" s="2" t="n"/>
      <c r="K264" s="2" t="n"/>
      <c r="L264" s="2">
        <f>IF($D264="","",TRIM(IF(COUNTIF($D$2:$D$300,$D264)&gt;1,"重复IP ","")&amp;IF(COUNTIF('网关清单'!$B$2:$B$60,$D264)&gt;0,"撞网关 ","")&amp;IF(AND(COUNTIF($D$2:$D$300,$D264)=1,COUNTIF('网关清单'!$B$2:$B$60,$D264)=0),"OK","")))</f>
        <v/>
      </c>
      <c r="M264" s="2" t="n"/>
    </row>
    <row r="265">
      <c r="A265" s="2">
        <f>IF($D265="","",ROW()-1)</f>
        <v/>
      </c>
      <c r="B265" s="2" t="n"/>
      <c r="C265" s="2" t="n"/>
      <c r="D265" s="2" t="n"/>
      <c r="E265" s="2" t="n"/>
      <c r="F265" s="2">
        <f>IF($D265="","",MID($D265,1,FIND("|",SUBSTITUTE($D265,".","|",3))-1)&amp;".x")</f>
        <v/>
      </c>
      <c r="G265" s="2" t="n"/>
      <c r="H265" s="2" t="n"/>
      <c r="I265" s="2" t="n"/>
      <c r="J265" s="2" t="n"/>
      <c r="K265" s="2" t="n"/>
      <c r="L265" s="2">
        <f>IF($D265="","",TRIM(IF(COUNTIF($D$2:$D$300,$D265)&gt;1,"重复IP ","")&amp;IF(COUNTIF('网关清单'!$B$2:$B$60,$D265)&gt;0,"撞网关 ","")&amp;IF(AND(COUNTIF($D$2:$D$300,$D265)=1,COUNTIF('网关清单'!$B$2:$B$60,$D265)=0),"OK","")))</f>
        <v/>
      </c>
      <c r="M265" s="2" t="n"/>
    </row>
    <row r="266">
      <c r="A266" s="2">
        <f>IF($D266="","",ROW()-1)</f>
        <v/>
      </c>
      <c r="B266" s="2" t="n"/>
      <c r="C266" s="2" t="n"/>
      <c r="D266" s="2" t="n"/>
      <c r="E266" s="2" t="n"/>
      <c r="F266" s="2">
        <f>IF($D266="","",MID($D266,1,FIND("|",SUBSTITUTE($D266,".","|",3))-1)&amp;".x")</f>
        <v/>
      </c>
      <c r="G266" s="2" t="n"/>
      <c r="H266" s="2" t="n"/>
      <c r="I266" s="2" t="n"/>
      <c r="J266" s="2" t="n"/>
      <c r="K266" s="2" t="n"/>
      <c r="L266" s="2">
        <f>IF($D266="","",TRIM(IF(COUNTIF($D$2:$D$300,$D266)&gt;1,"重复IP ","")&amp;IF(COUNTIF('网关清单'!$B$2:$B$60,$D266)&gt;0,"撞网关 ","")&amp;IF(AND(COUNTIF($D$2:$D$300,$D266)=1,COUNTIF('网关清单'!$B$2:$B$60,$D266)=0),"OK","")))</f>
        <v/>
      </c>
      <c r="M266" s="2" t="n"/>
    </row>
    <row r="267">
      <c r="A267" s="2">
        <f>IF($D267="","",ROW()-1)</f>
        <v/>
      </c>
      <c r="B267" s="2" t="n"/>
      <c r="C267" s="2" t="n"/>
      <c r="D267" s="2" t="n"/>
      <c r="E267" s="2" t="n"/>
      <c r="F267" s="2">
        <f>IF($D267="","",MID($D267,1,FIND("|",SUBSTITUTE($D267,".","|",3))-1)&amp;".x")</f>
        <v/>
      </c>
      <c r="G267" s="2" t="n"/>
      <c r="H267" s="2" t="n"/>
      <c r="I267" s="2" t="n"/>
      <c r="J267" s="2" t="n"/>
      <c r="K267" s="2" t="n"/>
      <c r="L267" s="2">
        <f>IF($D267="","",TRIM(IF(COUNTIF($D$2:$D$300,$D267)&gt;1,"重复IP ","")&amp;IF(COUNTIF('网关清单'!$B$2:$B$60,$D267)&gt;0,"撞网关 ","")&amp;IF(AND(COUNTIF($D$2:$D$300,$D267)=1,COUNTIF('网关清单'!$B$2:$B$60,$D267)=0),"OK","")))</f>
        <v/>
      </c>
      <c r="M267" s="2" t="n"/>
    </row>
    <row r="268">
      <c r="A268" s="2">
        <f>IF($D268="","",ROW()-1)</f>
        <v/>
      </c>
      <c r="B268" s="2" t="n"/>
      <c r="C268" s="2" t="n"/>
      <c r="D268" s="2" t="n"/>
      <c r="E268" s="2" t="n"/>
      <c r="F268" s="2">
        <f>IF($D268="","",MID($D268,1,FIND("|",SUBSTITUTE($D268,".","|",3))-1)&amp;".x")</f>
        <v/>
      </c>
      <c r="G268" s="2" t="n"/>
      <c r="H268" s="2" t="n"/>
      <c r="I268" s="2" t="n"/>
      <c r="J268" s="2" t="n"/>
      <c r="K268" s="2" t="n"/>
      <c r="L268" s="2">
        <f>IF($D268="","",TRIM(IF(COUNTIF($D$2:$D$300,$D268)&gt;1,"重复IP ","")&amp;IF(COUNTIF('网关清单'!$B$2:$B$60,$D268)&gt;0,"撞网关 ","")&amp;IF(AND(COUNTIF($D$2:$D$300,$D268)=1,COUNTIF('网关清单'!$B$2:$B$60,$D268)=0),"OK","")))</f>
        <v/>
      </c>
      <c r="M268" s="2" t="n"/>
    </row>
    <row r="269">
      <c r="A269" s="2">
        <f>IF($D269="","",ROW()-1)</f>
        <v/>
      </c>
      <c r="B269" s="2" t="n"/>
      <c r="C269" s="2" t="n"/>
      <c r="D269" s="2" t="n"/>
      <c r="E269" s="2" t="n"/>
      <c r="F269" s="2">
        <f>IF($D269="","",MID($D269,1,FIND("|",SUBSTITUTE($D269,".","|",3))-1)&amp;".x")</f>
        <v/>
      </c>
      <c r="G269" s="2" t="n"/>
      <c r="H269" s="2" t="n"/>
      <c r="I269" s="2" t="n"/>
      <c r="J269" s="2" t="n"/>
      <c r="K269" s="2" t="n"/>
      <c r="L269" s="2">
        <f>IF($D269="","",TRIM(IF(COUNTIF($D$2:$D$300,$D269)&gt;1,"重复IP ","")&amp;IF(COUNTIF('网关清单'!$B$2:$B$60,$D269)&gt;0,"撞网关 ","")&amp;IF(AND(COUNTIF($D$2:$D$300,$D269)=1,COUNTIF('网关清单'!$B$2:$B$60,$D269)=0),"OK","")))</f>
        <v/>
      </c>
      <c r="M269" s="2" t="n"/>
    </row>
    <row r="270">
      <c r="A270" s="2">
        <f>IF($D270="","",ROW()-1)</f>
        <v/>
      </c>
      <c r="B270" s="2" t="n"/>
      <c r="C270" s="2" t="n"/>
      <c r="D270" s="2" t="n"/>
      <c r="E270" s="2" t="n"/>
      <c r="F270" s="2">
        <f>IF($D270="","",MID($D270,1,FIND("|",SUBSTITUTE($D270,".","|",3))-1)&amp;".x")</f>
        <v/>
      </c>
      <c r="G270" s="2" t="n"/>
      <c r="H270" s="2" t="n"/>
      <c r="I270" s="2" t="n"/>
      <c r="J270" s="2" t="n"/>
      <c r="K270" s="2" t="n"/>
      <c r="L270" s="2">
        <f>IF($D270="","",TRIM(IF(COUNTIF($D$2:$D$300,$D270)&gt;1,"重复IP ","")&amp;IF(COUNTIF('网关清单'!$B$2:$B$60,$D270)&gt;0,"撞网关 ","")&amp;IF(AND(COUNTIF($D$2:$D$300,$D270)=1,COUNTIF('网关清单'!$B$2:$B$60,$D270)=0),"OK","")))</f>
        <v/>
      </c>
      <c r="M270" s="2" t="n"/>
    </row>
    <row r="271">
      <c r="A271" s="2">
        <f>IF($D271="","",ROW()-1)</f>
        <v/>
      </c>
      <c r="B271" s="2" t="n"/>
      <c r="C271" s="2" t="n"/>
      <c r="D271" s="2" t="n"/>
      <c r="E271" s="2" t="n"/>
      <c r="F271" s="2">
        <f>IF($D271="","",MID($D271,1,FIND("|",SUBSTITUTE($D271,".","|",3))-1)&amp;".x")</f>
        <v/>
      </c>
      <c r="G271" s="2" t="n"/>
      <c r="H271" s="2" t="n"/>
      <c r="I271" s="2" t="n"/>
      <c r="J271" s="2" t="n"/>
      <c r="K271" s="2" t="n"/>
      <c r="L271" s="2">
        <f>IF($D271="","",TRIM(IF(COUNTIF($D$2:$D$300,$D271)&gt;1,"重复IP ","")&amp;IF(COUNTIF('网关清单'!$B$2:$B$60,$D271)&gt;0,"撞网关 ","")&amp;IF(AND(COUNTIF($D$2:$D$300,$D271)=1,COUNTIF('网关清单'!$B$2:$B$60,$D271)=0),"OK","")))</f>
        <v/>
      </c>
      <c r="M271" s="2" t="n"/>
    </row>
    <row r="272">
      <c r="A272" s="2">
        <f>IF($D272="","",ROW()-1)</f>
        <v/>
      </c>
      <c r="B272" s="2" t="n"/>
      <c r="C272" s="2" t="n"/>
      <c r="D272" s="2" t="n"/>
      <c r="E272" s="2" t="n"/>
      <c r="F272" s="2">
        <f>IF($D272="","",MID($D272,1,FIND("|",SUBSTITUTE($D272,".","|",3))-1)&amp;".x")</f>
        <v/>
      </c>
      <c r="G272" s="2" t="n"/>
      <c r="H272" s="2" t="n"/>
      <c r="I272" s="2" t="n"/>
      <c r="J272" s="2" t="n"/>
      <c r="K272" s="2" t="n"/>
      <c r="L272" s="2">
        <f>IF($D272="","",TRIM(IF(COUNTIF($D$2:$D$300,$D272)&gt;1,"重复IP ","")&amp;IF(COUNTIF('网关清单'!$B$2:$B$60,$D272)&gt;0,"撞网关 ","")&amp;IF(AND(COUNTIF($D$2:$D$300,$D272)=1,COUNTIF('网关清单'!$B$2:$B$60,$D272)=0),"OK","")))</f>
        <v/>
      </c>
      <c r="M272" s="2" t="n"/>
    </row>
    <row r="273">
      <c r="A273" s="2">
        <f>IF($D273="","",ROW()-1)</f>
        <v/>
      </c>
      <c r="B273" s="2" t="n"/>
      <c r="C273" s="2" t="n"/>
      <c r="D273" s="2" t="n"/>
      <c r="E273" s="2" t="n"/>
      <c r="F273" s="2">
        <f>IF($D273="","",MID($D273,1,FIND("|",SUBSTITUTE($D273,".","|",3))-1)&amp;".x")</f>
        <v/>
      </c>
      <c r="G273" s="2" t="n"/>
      <c r="H273" s="2" t="n"/>
      <c r="I273" s="2" t="n"/>
      <c r="J273" s="2" t="n"/>
      <c r="K273" s="2" t="n"/>
      <c r="L273" s="2">
        <f>IF($D273="","",TRIM(IF(COUNTIF($D$2:$D$300,$D273)&gt;1,"重复IP ","")&amp;IF(COUNTIF('网关清单'!$B$2:$B$60,$D273)&gt;0,"撞网关 ","")&amp;IF(AND(COUNTIF($D$2:$D$300,$D273)=1,COUNTIF('网关清单'!$B$2:$B$60,$D273)=0),"OK","")))</f>
        <v/>
      </c>
      <c r="M273" s="2" t="n"/>
    </row>
    <row r="274">
      <c r="A274" s="2">
        <f>IF($D274="","",ROW()-1)</f>
        <v/>
      </c>
      <c r="B274" s="2" t="n"/>
      <c r="C274" s="2" t="n"/>
      <c r="D274" s="2" t="n"/>
      <c r="E274" s="2" t="n"/>
      <c r="F274" s="2">
        <f>IF($D274="","",MID($D274,1,FIND("|",SUBSTITUTE($D274,".","|",3))-1)&amp;".x")</f>
        <v/>
      </c>
      <c r="G274" s="2" t="n"/>
      <c r="H274" s="2" t="n"/>
      <c r="I274" s="2" t="n"/>
      <c r="J274" s="2" t="n"/>
      <c r="K274" s="2" t="n"/>
      <c r="L274" s="2">
        <f>IF($D274="","",TRIM(IF(COUNTIF($D$2:$D$300,$D274)&gt;1,"重复IP ","")&amp;IF(COUNTIF('网关清单'!$B$2:$B$60,$D274)&gt;0,"撞网关 ","")&amp;IF(AND(COUNTIF($D$2:$D$300,$D274)=1,COUNTIF('网关清单'!$B$2:$B$60,$D274)=0),"OK","")))</f>
        <v/>
      </c>
      <c r="M274" s="2" t="n"/>
    </row>
    <row r="275">
      <c r="A275" s="2">
        <f>IF($D275="","",ROW()-1)</f>
        <v/>
      </c>
      <c r="B275" s="2" t="n"/>
      <c r="C275" s="2" t="n"/>
      <c r="D275" s="2" t="n"/>
      <c r="E275" s="2" t="n"/>
      <c r="F275" s="2">
        <f>IF($D275="","",MID($D275,1,FIND("|",SUBSTITUTE($D275,".","|",3))-1)&amp;".x")</f>
        <v/>
      </c>
      <c r="G275" s="2" t="n"/>
      <c r="H275" s="2" t="n"/>
      <c r="I275" s="2" t="n"/>
      <c r="J275" s="2" t="n"/>
      <c r="K275" s="2" t="n"/>
      <c r="L275" s="2">
        <f>IF($D275="","",TRIM(IF(COUNTIF($D$2:$D$300,$D275)&gt;1,"重复IP ","")&amp;IF(COUNTIF('网关清单'!$B$2:$B$60,$D275)&gt;0,"撞网关 ","")&amp;IF(AND(COUNTIF($D$2:$D$300,$D275)=1,COUNTIF('网关清单'!$B$2:$B$60,$D275)=0),"OK","")))</f>
        <v/>
      </c>
      <c r="M275" s="2" t="n"/>
    </row>
    <row r="276">
      <c r="A276" s="2">
        <f>IF($D276="","",ROW()-1)</f>
        <v/>
      </c>
      <c r="B276" s="2" t="n"/>
      <c r="C276" s="2" t="n"/>
      <c r="D276" s="2" t="n"/>
      <c r="E276" s="2" t="n"/>
      <c r="F276" s="2">
        <f>IF($D276="","",MID($D276,1,FIND("|",SUBSTITUTE($D276,".","|",3))-1)&amp;".x")</f>
        <v/>
      </c>
      <c r="G276" s="2" t="n"/>
      <c r="H276" s="2" t="n"/>
      <c r="I276" s="2" t="n"/>
      <c r="J276" s="2" t="n"/>
      <c r="K276" s="2" t="n"/>
      <c r="L276" s="2">
        <f>IF($D276="","",TRIM(IF(COUNTIF($D$2:$D$300,$D276)&gt;1,"重复IP ","")&amp;IF(COUNTIF('网关清单'!$B$2:$B$60,$D276)&gt;0,"撞网关 ","")&amp;IF(AND(COUNTIF($D$2:$D$300,$D276)=1,COUNTIF('网关清单'!$B$2:$B$60,$D276)=0),"OK","")))</f>
        <v/>
      </c>
      <c r="M276" s="2" t="n"/>
    </row>
    <row r="277">
      <c r="A277" s="2">
        <f>IF($D277="","",ROW()-1)</f>
        <v/>
      </c>
      <c r="B277" s="2" t="n"/>
      <c r="C277" s="2" t="n"/>
      <c r="D277" s="2" t="n"/>
      <c r="E277" s="2" t="n"/>
      <c r="F277" s="2">
        <f>IF($D277="","",MID($D277,1,FIND("|",SUBSTITUTE($D277,".","|",3))-1)&amp;".x")</f>
        <v/>
      </c>
      <c r="G277" s="2" t="n"/>
      <c r="H277" s="2" t="n"/>
      <c r="I277" s="2" t="n"/>
      <c r="J277" s="2" t="n"/>
      <c r="K277" s="2" t="n"/>
      <c r="L277" s="2">
        <f>IF($D277="","",TRIM(IF(COUNTIF($D$2:$D$300,$D277)&gt;1,"重复IP ","")&amp;IF(COUNTIF('网关清单'!$B$2:$B$60,$D277)&gt;0,"撞网关 ","")&amp;IF(AND(COUNTIF($D$2:$D$300,$D277)=1,COUNTIF('网关清单'!$B$2:$B$60,$D277)=0),"OK","")))</f>
        <v/>
      </c>
      <c r="M277" s="2" t="n"/>
    </row>
    <row r="278">
      <c r="A278" s="2">
        <f>IF($D278="","",ROW()-1)</f>
        <v/>
      </c>
      <c r="B278" s="2" t="n"/>
      <c r="C278" s="2" t="n"/>
      <c r="D278" s="2" t="n"/>
      <c r="E278" s="2" t="n"/>
      <c r="F278" s="2">
        <f>IF($D278="","",MID($D278,1,FIND("|",SUBSTITUTE($D278,".","|",3))-1)&amp;".x")</f>
        <v/>
      </c>
      <c r="G278" s="2" t="n"/>
      <c r="H278" s="2" t="n"/>
      <c r="I278" s="2" t="n"/>
      <c r="J278" s="2" t="n"/>
      <c r="K278" s="2" t="n"/>
      <c r="L278" s="2">
        <f>IF($D278="","",TRIM(IF(COUNTIF($D$2:$D$300,$D278)&gt;1,"重复IP ","")&amp;IF(COUNTIF('网关清单'!$B$2:$B$60,$D278)&gt;0,"撞网关 ","")&amp;IF(AND(COUNTIF($D$2:$D$300,$D278)=1,COUNTIF('网关清单'!$B$2:$B$60,$D278)=0),"OK","")))</f>
        <v/>
      </c>
      <c r="M278" s="2" t="n"/>
    </row>
    <row r="279">
      <c r="A279" s="2">
        <f>IF($D279="","",ROW()-1)</f>
        <v/>
      </c>
      <c r="B279" s="2" t="n"/>
      <c r="C279" s="2" t="n"/>
      <c r="D279" s="2" t="n"/>
      <c r="E279" s="2" t="n"/>
      <c r="F279" s="2">
        <f>IF($D279="","",MID($D279,1,FIND("|",SUBSTITUTE($D279,".","|",3))-1)&amp;".x")</f>
        <v/>
      </c>
      <c r="G279" s="2" t="n"/>
      <c r="H279" s="2" t="n"/>
      <c r="I279" s="2" t="n"/>
      <c r="J279" s="2" t="n"/>
      <c r="K279" s="2" t="n"/>
      <c r="L279" s="2">
        <f>IF($D279="","",TRIM(IF(COUNTIF($D$2:$D$300,$D279)&gt;1,"重复IP ","")&amp;IF(COUNTIF('网关清单'!$B$2:$B$60,$D279)&gt;0,"撞网关 ","")&amp;IF(AND(COUNTIF($D$2:$D$300,$D279)=1,COUNTIF('网关清单'!$B$2:$B$60,$D279)=0),"OK","")))</f>
        <v/>
      </c>
      <c r="M279" s="2" t="n"/>
    </row>
    <row r="280">
      <c r="A280" s="2">
        <f>IF($D280="","",ROW()-1)</f>
        <v/>
      </c>
      <c r="B280" s="2" t="n"/>
      <c r="C280" s="2" t="n"/>
      <c r="D280" s="2" t="n"/>
      <c r="E280" s="2" t="n"/>
      <c r="F280" s="2">
        <f>IF($D280="","",MID($D280,1,FIND("|",SUBSTITUTE($D280,".","|",3))-1)&amp;".x")</f>
        <v/>
      </c>
      <c r="G280" s="2" t="n"/>
      <c r="H280" s="2" t="n"/>
      <c r="I280" s="2" t="n"/>
      <c r="J280" s="2" t="n"/>
      <c r="K280" s="2" t="n"/>
      <c r="L280" s="2">
        <f>IF($D280="","",TRIM(IF(COUNTIF($D$2:$D$300,$D280)&gt;1,"重复IP ","")&amp;IF(COUNTIF('网关清单'!$B$2:$B$60,$D280)&gt;0,"撞网关 ","")&amp;IF(AND(COUNTIF($D$2:$D$300,$D280)=1,COUNTIF('网关清单'!$B$2:$B$60,$D280)=0),"OK","")))</f>
        <v/>
      </c>
      <c r="M280" s="2" t="n"/>
    </row>
    <row r="281">
      <c r="A281" s="2">
        <f>IF($D281="","",ROW()-1)</f>
        <v/>
      </c>
      <c r="B281" s="2" t="n"/>
      <c r="C281" s="2" t="n"/>
      <c r="D281" s="2" t="n"/>
      <c r="E281" s="2" t="n"/>
      <c r="F281" s="2">
        <f>IF($D281="","",MID($D281,1,FIND("|",SUBSTITUTE($D281,".","|",3))-1)&amp;".x")</f>
        <v/>
      </c>
      <c r="G281" s="2" t="n"/>
      <c r="H281" s="2" t="n"/>
      <c r="I281" s="2" t="n"/>
      <c r="J281" s="2" t="n"/>
      <c r="K281" s="2" t="n"/>
      <c r="L281" s="2">
        <f>IF($D281="","",TRIM(IF(COUNTIF($D$2:$D$300,$D281)&gt;1,"重复IP ","")&amp;IF(COUNTIF('网关清单'!$B$2:$B$60,$D281)&gt;0,"撞网关 ","")&amp;IF(AND(COUNTIF($D$2:$D$300,$D281)=1,COUNTIF('网关清单'!$B$2:$B$60,$D281)=0),"OK","")))</f>
        <v/>
      </c>
      <c r="M281" s="2" t="n"/>
    </row>
    <row r="282">
      <c r="A282" s="2">
        <f>IF($D282="","",ROW()-1)</f>
        <v/>
      </c>
      <c r="B282" s="2" t="n"/>
      <c r="C282" s="2" t="n"/>
      <c r="D282" s="2" t="n"/>
      <c r="E282" s="2" t="n"/>
      <c r="F282" s="2">
        <f>IF($D282="","",MID($D282,1,FIND("|",SUBSTITUTE($D282,".","|",3))-1)&amp;".x")</f>
        <v/>
      </c>
      <c r="G282" s="2" t="n"/>
      <c r="H282" s="2" t="n"/>
      <c r="I282" s="2" t="n"/>
      <c r="J282" s="2" t="n"/>
      <c r="K282" s="2" t="n"/>
      <c r="L282" s="2">
        <f>IF($D282="","",TRIM(IF(COUNTIF($D$2:$D$300,$D282)&gt;1,"重复IP ","")&amp;IF(COUNTIF('网关清单'!$B$2:$B$60,$D282)&gt;0,"撞网关 ","")&amp;IF(AND(COUNTIF($D$2:$D$300,$D282)=1,COUNTIF('网关清单'!$B$2:$B$60,$D282)=0),"OK","")))</f>
        <v/>
      </c>
      <c r="M282" s="2" t="n"/>
    </row>
    <row r="283">
      <c r="A283" s="2">
        <f>IF($D283="","",ROW()-1)</f>
        <v/>
      </c>
      <c r="B283" s="2" t="n"/>
      <c r="C283" s="2" t="n"/>
      <c r="D283" s="2" t="n"/>
      <c r="E283" s="2" t="n"/>
      <c r="F283" s="2">
        <f>IF($D283="","",MID($D283,1,FIND("|",SUBSTITUTE($D283,".","|",3))-1)&amp;".x")</f>
        <v/>
      </c>
      <c r="G283" s="2" t="n"/>
      <c r="H283" s="2" t="n"/>
      <c r="I283" s="2" t="n"/>
      <c r="J283" s="2" t="n"/>
      <c r="K283" s="2" t="n"/>
      <c r="L283" s="2">
        <f>IF($D283="","",TRIM(IF(COUNTIF($D$2:$D$300,$D283)&gt;1,"重复IP ","")&amp;IF(COUNTIF('网关清单'!$B$2:$B$60,$D283)&gt;0,"撞网关 ","")&amp;IF(AND(COUNTIF($D$2:$D$300,$D283)=1,COUNTIF('网关清单'!$B$2:$B$60,$D283)=0),"OK","")))</f>
        <v/>
      </c>
      <c r="M283" s="2" t="n"/>
    </row>
    <row r="284">
      <c r="A284" s="2">
        <f>IF($D284="","",ROW()-1)</f>
        <v/>
      </c>
      <c r="B284" s="2" t="n"/>
      <c r="C284" s="2" t="n"/>
      <c r="D284" s="2" t="n"/>
      <c r="E284" s="2" t="n"/>
      <c r="F284" s="2">
        <f>IF($D284="","",MID($D284,1,FIND("|",SUBSTITUTE($D284,".","|",3))-1)&amp;".x")</f>
        <v/>
      </c>
      <c r="G284" s="2" t="n"/>
      <c r="H284" s="2" t="n"/>
      <c r="I284" s="2" t="n"/>
      <c r="J284" s="2" t="n"/>
      <c r="K284" s="2" t="n"/>
      <c r="L284" s="2">
        <f>IF($D284="","",TRIM(IF(COUNTIF($D$2:$D$300,$D284)&gt;1,"重复IP ","")&amp;IF(COUNTIF('网关清单'!$B$2:$B$60,$D284)&gt;0,"撞网关 ","")&amp;IF(AND(COUNTIF($D$2:$D$300,$D284)=1,COUNTIF('网关清单'!$B$2:$B$60,$D284)=0),"OK","")))</f>
        <v/>
      </c>
      <c r="M284" s="2" t="n"/>
    </row>
    <row r="285">
      <c r="A285" s="2">
        <f>IF($D285="","",ROW()-1)</f>
        <v/>
      </c>
      <c r="B285" s="2" t="n"/>
      <c r="C285" s="2" t="n"/>
      <c r="D285" s="2" t="n"/>
      <c r="E285" s="2" t="n"/>
      <c r="F285" s="2">
        <f>IF($D285="","",MID($D285,1,FIND("|",SUBSTITUTE($D285,".","|",3))-1)&amp;".x")</f>
        <v/>
      </c>
      <c r="G285" s="2" t="n"/>
      <c r="H285" s="2" t="n"/>
      <c r="I285" s="2" t="n"/>
      <c r="J285" s="2" t="n"/>
      <c r="K285" s="2" t="n"/>
      <c r="L285" s="2">
        <f>IF($D285="","",TRIM(IF(COUNTIF($D$2:$D$300,$D285)&gt;1,"重复IP ","")&amp;IF(COUNTIF('网关清单'!$B$2:$B$60,$D285)&gt;0,"撞网关 ","")&amp;IF(AND(COUNTIF($D$2:$D$300,$D285)=1,COUNTIF('网关清单'!$B$2:$B$60,$D285)=0),"OK","")))</f>
        <v/>
      </c>
      <c r="M285" s="2" t="n"/>
    </row>
    <row r="286">
      <c r="A286" s="2">
        <f>IF($D286="","",ROW()-1)</f>
        <v/>
      </c>
      <c r="B286" s="2" t="n"/>
      <c r="C286" s="2" t="n"/>
      <c r="D286" s="2" t="n"/>
      <c r="E286" s="2" t="n"/>
      <c r="F286" s="2">
        <f>IF($D286="","",MID($D286,1,FIND("|",SUBSTITUTE($D286,".","|",3))-1)&amp;".x")</f>
        <v/>
      </c>
      <c r="G286" s="2" t="n"/>
      <c r="H286" s="2" t="n"/>
      <c r="I286" s="2" t="n"/>
      <c r="J286" s="2" t="n"/>
      <c r="K286" s="2" t="n"/>
      <c r="L286" s="2">
        <f>IF($D286="","",TRIM(IF(COUNTIF($D$2:$D$300,$D286)&gt;1,"重复IP ","")&amp;IF(COUNTIF('网关清单'!$B$2:$B$60,$D286)&gt;0,"撞网关 ","")&amp;IF(AND(COUNTIF($D$2:$D$300,$D286)=1,COUNTIF('网关清单'!$B$2:$B$60,$D286)=0),"OK","")))</f>
        <v/>
      </c>
      <c r="M286" s="2" t="n"/>
    </row>
    <row r="287">
      <c r="A287" s="2">
        <f>IF($D287="","",ROW()-1)</f>
        <v/>
      </c>
      <c r="B287" s="2" t="n"/>
      <c r="C287" s="2" t="n"/>
      <c r="D287" s="2" t="n"/>
      <c r="E287" s="2" t="n"/>
      <c r="F287" s="2">
        <f>IF($D287="","",MID($D287,1,FIND("|",SUBSTITUTE($D287,".","|",3))-1)&amp;".x")</f>
        <v/>
      </c>
      <c r="G287" s="2" t="n"/>
      <c r="H287" s="2" t="n"/>
      <c r="I287" s="2" t="n"/>
      <c r="J287" s="2" t="n"/>
      <c r="K287" s="2" t="n"/>
      <c r="L287" s="2">
        <f>IF($D287="","",TRIM(IF(COUNTIF($D$2:$D$300,$D287)&gt;1,"重复IP ","")&amp;IF(COUNTIF('网关清单'!$B$2:$B$60,$D287)&gt;0,"撞网关 ","")&amp;IF(AND(COUNTIF($D$2:$D$300,$D287)=1,COUNTIF('网关清单'!$B$2:$B$60,$D287)=0),"OK","")))</f>
        <v/>
      </c>
      <c r="M287" s="2" t="n"/>
    </row>
    <row r="288">
      <c r="A288" s="2">
        <f>IF($D288="","",ROW()-1)</f>
        <v/>
      </c>
      <c r="B288" s="2" t="n"/>
      <c r="C288" s="2" t="n"/>
      <c r="D288" s="2" t="n"/>
      <c r="E288" s="2" t="n"/>
      <c r="F288" s="2">
        <f>IF($D288="","",MID($D288,1,FIND("|",SUBSTITUTE($D288,".","|",3))-1)&amp;".x")</f>
        <v/>
      </c>
      <c r="G288" s="2" t="n"/>
      <c r="H288" s="2" t="n"/>
      <c r="I288" s="2" t="n"/>
      <c r="J288" s="2" t="n"/>
      <c r="K288" s="2" t="n"/>
      <c r="L288" s="2">
        <f>IF($D288="","",TRIM(IF(COUNTIF($D$2:$D$300,$D288)&gt;1,"重复IP ","")&amp;IF(COUNTIF('网关清单'!$B$2:$B$60,$D288)&gt;0,"撞网关 ","")&amp;IF(AND(COUNTIF($D$2:$D$300,$D288)=1,COUNTIF('网关清单'!$B$2:$B$60,$D288)=0),"OK","")))</f>
        <v/>
      </c>
      <c r="M288" s="2" t="n"/>
    </row>
    <row r="289">
      <c r="A289" s="2">
        <f>IF($D289="","",ROW()-1)</f>
        <v/>
      </c>
      <c r="B289" s="2" t="n"/>
      <c r="C289" s="2" t="n"/>
      <c r="D289" s="2" t="n"/>
      <c r="E289" s="2" t="n"/>
      <c r="F289" s="2">
        <f>IF($D289="","",MID($D289,1,FIND("|",SUBSTITUTE($D289,".","|",3))-1)&amp;".x")</f>
        <v/>
      </c>
      <c r="G289" s="2" t="n"/>
      <c r="H289" s="2" t="n"/>
      <c r="I289" s="2" t="n"/>
      <c r="J289" s="2" t="n"/>
      <c r="K289" s="2" t="n"/>
      <c r="L289" s="2">
        <f>IF($D289="","",TRIM(IF(COUNTIF($D$2:$D$300,$D289)&gt;1,"重复IP ","")&amp;IF(COUNTIF('网关清单'!$B$2:$B$60,$D289)&gt;0,"撞网关 ","")&amp;IF(AND(COUNTIF($D$2:$D$300,$D289)=1,COUNTIF('网关清单'!$B$2:$B$60,$D289)=0),"OK","")))</f>
        <v/>
      </c>
      <c r="M289" s="2" t="n"/>
    </row>
    <row r="290">
      <c r="A290" s="2">
        <f>IF($D290="","",ROW()-1)</f>
        <v/>
      </c>
      <c r="B290" s="2" t="n"/>
      <c r="C290" s="2" t="n"/>
      <c r="D290" s="2" t="n"/>
      <c r="E290" s="2" t="n"/>
      <c r="F290" s="2">
        <f>IF($D290="","",MID($D290,1,FIND("|",SUBSTITUTE($D290,".","|",3))-1)&amp;".x")</f>
        <v/>
      </c>
      <c r="G290" s="2" t="n"/>
      <c r="H290" s="2" t="n"/>
      <c r="I290" s="2" t="n"/>
      <c r="J290" s="2" t="n"/>
      <c r="K290" s="2" t="n"/>
      <c r="L290" s="2">
        <f>IF($D290="","",TRIM(IF(COUNTIF($D$2:$D$300,$D290)&gt;1,"重复IP ","")&amp;IF(COUNTIF('网关清单'!$B$2:$B$60,$D290)&gt;0,"撞网关 ","")&amp;IF(AND(COUNTIF($D$2:$D$300,$D290)=1,COUNTIF('网关清单'!$B$2:$B$60,$D290)=0),"OK","")))</f>
        <v/>
      </c>
      <c r="M290" s="2" t="n"/>
    </row>
    <row r="291">
      <c r="A291" s="2">
        <f>IF($D291="","",ROW()-1)</f>
        <v/>
      </c>
      <c r="B291" s="2" t="n"/>
      <c r="C291" s="2" t="n"/>
      <c r="D291" s="2" t="n"/>
      <c r="E291" s="2" t="n"/>
      <c r="F291" s="2">
        <f>IF($D291="","",MID($D291,1,FIND("|",SUBSTITUTE($D291,".","|",3))-1)&amp;".x")</f>
        <v/>
      </c>
      <c r="G291" s="2" t="n"/>
      <c r="H291" s="2" t="n"/>
      <c r="I291" s="2" t="n"/>
      <c r="J291" s="2" t="n"/>
      <c r="K291" s="2" t="n"/>
      <c r="L291" s="2">
        <f>IF($D291="","",TRIM(IF(COUNTIF($D$2:$D$300,$D291)&gt;1,"重复IP ","")&amp;IF(COUNTIF('网关清单'!$B$2:$B$60,$D291)&gt;0,"撞网关 ","")&amp;IF(AND(COUNTIF($D$2:$D$300,$D291)=1,COUNTIF('网关清单'!$B$2:$B$60,$D291)=0),"OK","")))</f>
        <v/>
      </c>
      <c r="M291" s="2" t="n"/>
    </row>
    <row r="292">
      <c r="A292" s="2">
        <f>IF($D292="","",ROW()-1)</f>
        <v/>
      </c>
      <c r="B292" s="2" t="n"/>
      <c r="C292" s="2" t="n"/>
      <c r="D292" s="2" t="n"/>
      <c r="E292" s="2" t="n"/>
      <c r="F292" s="2">
        <f>IF($D292="","",MID($D292,1,FIND("|",SUBSTITUTE($D292,".","|",3))-1)&amp;".x")</f>
        <v/>
      </c>
      <c r="G292" s="2" t="n"/>
      <c r="H292" s="2" t="n"/>
      <c r="I292" s="2" t="n"/>
      <c r="J292" s="2" t="n"/>
      <c r="K292" s="2" t="n"/>
      <c r="L292" s="2">
        <f>IF($D292="","",TRIM(IF(COUNTIF($D$2:$D$300,$D292)&gt;1,"重复IP ","")&amp;IF(COUNTIF('网关清单'!$B$2:$B$60,$D292)&gt;0,"撞网关 ","")&amp;IF(AND(COUNTIF($D$2:$D$300,$D292)=1,COUNTIF('网关清单'!$B$2:$B$60,$D292)=0),"OK","")))</f>
        <v/>
      </c>
      <c r="M292" s="2" t="n"/>
    </row>
    <row r="293">
      <c r="A293" s="2">
        <f>IF($D293="","",ROW()-1)</f>
        <v/>
      </c>
      <c r="B293" s="2" t="n"/>
      <c r="C293" s="2" t="n"/>
      <c r="D293" s="2" t="n"/>
      <c r="E293" s="2" t="n"/>
      <c r="F293" s="2">
        <f>IF($D293="","",MID($D293,1,FIND("|",SUBSTITUTE($D293,".","|",3))-1)&amp;".x")</f>
        <v/>
      </c>
      <c r="G293" s="2" t="n"/>
      <c r="H293" s="2" t="n"/>
      <c r="I293" s="2" t="n"/>
      <c r="J293" s="2" t="n"/>
      <c r="K293" s="2" t="n"/>
      <c r="L293" s="2">
        <f>IF($D293="","",TRIM(IF(COUNTIF($D$2:$D$300,$D293)&gt;1,"重复IP ","")&amp;IF(COUNTIF('网关清单'!$B$2:$B$60,$D293)&gt;0,"撞网关 ","")&amp;IF(AND(COUNTIF($D$2:$D$300,$D293)=1,COUNTIF('网关清单'!$B$2:$B$60,$D293)=0),"OK","")))</f>
        <v/>
      </c>
      <c r="M293" s="2" t="n"/>
    </row>
    <row r="294">
      <c r="A294" s="2">
        <f>IF($D294="","",ROW()-1)</f>
        <v/>
      </c>
      <c r="B294" s="2" t="n"/>
      <c r="C294" s="2" t="n"/>
      <c r="D294" s="2" t="n"/>
      <c r="E294" s="2" t="n"/>
      <c r="F294" s="2">
        <f>IF($D294="","",MID($D294,1,FIND("|",SUBSTITUTE($D294,".","|",3))-1)&amp;".x")</f>
        <v/>
      </c>
      <c r="G294" s="2" t="n"/>
      <c r="H294" s="2" t="n"/>
      <c r="I294" s="2" t="n"/>
      <c r="J294" s="2" t="n"/>
      <c r="K294" s="2" t="n"/>
      <c r="L294" s="2">
        <f>IF($D294="","",TRIM(IF(COUNTIF($D$2:$D$300,$D294)&gt;1,"重复IP ","")&amp;IF(COUNTIF('网关清单'!$B$2:$B$60,$D294)&gt;0,"撞网关 ","")&amp;IF(AND(COUNTIF($D$2:$D$300,$D294)=1,COUNTIF('网关清单'!$B$2:$B$60,$D294)=0),"OK","")))</f>
        <v/>
      </c>
      <c r="M294" s="2" t="n"/>
    </row>
    <row r="295">
      <c r="A295" s="2">
        <f>IF($D295="","",ROW()-1)</f>
        <v/>
      </c>
      <c r="B295" s="2" t="n"/>
      <c r="C295" s="2" t="n"/>
      <c r="D295" s="2" t="n"/>
      <c r="E295" s="2" t="n"/>
      <c r="F295" s="2">
        <f>IF($D295="","",MID($D295,1,FIND("|",SUBSTITUTE($D295,".","|",3))-1)&amp;".x")</f>
        <v/>
      </c>
      <c r="G295" s="2" t="n"/>
      <c r="H295" s="2" t="n"/>
      <c r="I295" s="2" t="n"/>
      <c r="J295" s="2" t="n"/>
      <c r="K295" s="2" t="n"/>
      <c r="L295" s="2">
        <f>IF($D295="","",TRIM(IF(COUNTIF($D$2:$D$300,$D295)&gt;1,"重复IP ","")&amp;IF(COUNTIF('网关清单'!$B$2:$B$60,$D295)&gt;0,"撞网关 ","")&amp;IF(AND(COUNTIF($D$2:$D$300,$D295)=1,COUNTIF('网关清单'!$B$2:$B$60,$D295)=0),"OK","")))</f>
        <v/>
      </c>
      <c r="M295" s="2" t="n"/>
    </row>
    <row r="296">
      <c r="A296" s="2">
        <f>IF($D296="","",ROW()-1)</f>
        <v/>
      </c>
      <c r="B296" s="2" t="n"/>
      <c r="C296" s="2" t="n"/>
      <c r="D296" s="2" t="n"/>
      <c r="E296" s="2" t="n"/>
      <c r="F296" s="2">
        <f>IF($D296="","",MID($D296,1,FIND("|",SUBSTITUTE($D296,".","|",3))-1)&amp;".x")</f>
        <v/>
      </c>
      <c r="G296" s="2" t="n"/>
      <c r="H296" s="2" t="n"/>
      <c r="I296" s="2" t="n"/>
      <c r="J296" s="2" t="n"/>
      <c r="K296" s="2" t="n"/>
      <c r="L296" s="2">
        <f>IF($D296="","",TRIM(IF(COUNTIF($D$2:$D$300,$D296)&gt;1,"重复IP ","")&amp;IF(COUNTIF('网关清单'!$B$2:$B$60,$D296)&gt;0,"撞网关 ","")&amp;IF(AND(COUNTIF($D$2:$D$300,$D296)=1,COUNTIF('网关清单'!$B$2:$B$60,$D296)=0),"OK","")))</f>
        <v/>
      </c>
      <c r="M296" s="2" t="n"/>
    </row>
    <row r="297">
      <c r="A297" s="2">
        <f>IF($D297="","",ROW()-1)</f>
        <v/>
      </c>
      <c r="B297" s="2" t="n"/>
      <c r="C297" s="2" t="n"/>
      <c r="D297" s="2" t="n"/>
      <c r="E297" s="2" t="n"/>
      <c r="F297" s="2">
        <f>IF($D297="","",MID($D297,1,FIND("|",SUBSTITUTE($D297,".","|",3))-1)&amp;".x")</f>
        <v/>
      </c>
      <c r="G297" s="2" t="n"/>
      <c r="H297" s="2" t="n"/>
      <c r="I297" s="2" t="n"/>
      <c r="J297" s="2" t="n"/>
      <c r="K297" s="2" t="n"/>
      <c r="L297" s="2">
        <f>IF($D297="","",TRIM(IF(COUNTIF($D$2:$D$300,$D297)&gt;1,"重复IP ","")&amp;IF(COUNTIF('网关清单'!$B$2:$B$60,$D297)&gt;0,"撞网关 ","")&amp;IF(AND(COUNTIF($D$2:$D$300,$D297)=1,COUNTIF('网关清单'!$B$2:$B$60,$D297)=0),"OK","")))</f>
        <v/>
      </c>
      <c r="M297" s="2" t="n"/>
    </row>
    <row r="298">
      <c r="A298" s="2">
        <f>IF($D298="","",ROW()-1)</f>
        <v/>
      </c>
      <c r="B298" s="2" t="n"/>
      <c r="C298" s="2" t="n"/>
      <c r="D298" s="2" t="n"/>
      <c r="E298" s="2" t="n"/>
      <c r="F298" s="2">
        <f>IF($D298="","",MID($D298,1,FIND("|",SUBSTITUTE($D298,".","|",3))-1)&amp;".x")</f>
        <v/>
      </c>
      <c r="G298" s="2" t="n"/>
      <c r="H298" s="2" t="n"/>
      <c r="I298" s="2" t="n"/>
      <c r="J298" s="2" t="n"/>
      <c r="K298" s="2" t="n"/>
      <c r="L298" s="2">
        <f>IF($D298="","",TRIM(IF(COUNTIF($D$2:$D$300,$D298)&gt;1,"重复IP ","")&amp;IF(COUNTIF('网关清单'!$B$2:$B$60,$D298)&gt;0,"撞网关 ","")&amp;IF(AND(COUNTIF($D$2:$D$300,$D298)=1,COUNTIF('网关清单'!$B$2:$B$60,$D298)=0),"OK","")))</f>
        <v/>
      </c>
      <c r="M298" s="2" t="n"/>
    </row>
    <row r="299">
      <c r="A299" s="2">
        <f>IF($D299="","",ROW()-1)</f>
        <v/>
      </c>
      <c r="B299" s="2" t="n"/>
      <c r="C299" s="2" t="n"/>
      <c r="D299" s="2" t="n"/>
      <c r="E299" s="2" t="n"/>
      <c r="F299" s="2">
        <f>IF($D299="","",MID($D299,1,FIND("|",SUBSTITUTE($D299,".","|",3))-1)&amp;".x")</f>
        <v/>
      </c>
      <c r="G299" s="2" t="n"/>
      <c r="H299" s="2" t="n"/>
      <c r="I299" s="2" t="n"/>
      <c r="J299" s="2" t="n"/>
      <c r="K299" s="2" t="n"/>
      <c r="L299" s="2">
        <f>IF($D299="","",TRIM(IF(COUNTIF($D$2:$D$300,$D299)&gt;1,"重复IP ","")&amp;IF(COUNTIF('网关清单'!$B$2:$B$60,$D299)&gt;0,"撞网关 ","")&amp;IF(AND(COUNTIF($D$2:$D$300,$D299)=1,COUNTIF('网关清单'!$B$2:$B$60,$D299)=0),"OK","")))</f>
        <v/>
      </c>
      <c r="M299" s="2" t="n"/>
    </row>
    <row r="300">
      <c r="A300" s="2">
        <f>IF($D300="","",ROW()-1)</f>
        <v/>
      </c>
      <c r="B300" s="2" t="n"/>
      <c r="C300" s="2" t="n"/>
      <c r="D300" s="2" t="n"/>
      <c r="E300" s="2" t="n"/>
      <c r="F300" s="2">
        <f>IF($D300="","",MID($D300,1,FIND("|",SUBSTITUTE($D300,".","|",3))-1)&amp;".x")</f>
        <v/>
      </c>
      <c r="G300" s="2" t="n"/>
      <c r="H300" s="2" t="n"/>
      <c r="I300" s="2" t="n"/>
      <c r="J300" s="2" t="n"/>
      <c r="K300" s="2" t="n"/>
      <c r="L300" s="2">
        <f>IF($D300="","",TRIM(IF(COUNTIF($D$2:$D$300,$D300)&gt;1,"重复IP ","")&amp;IF(COUNTIF('网关清单'!$B$2:$B$60,$D300)&gt;0,"撞网关 ","")&amp;IF(AND(COUNTIF($D$2:$D$300,$D300)=1,COUNTIF('网关清单'!$B$2:$B$60,$D300)=0),"OK","")))</f>
        <v/>
      </c>
      <c r="M300" s="2" t="n"/>
    </row>
  </sheetData>
  <conditionalFormatting sqref="L2:L300">
    <cfRule type="expression" priority="1" dxfId="0">
      <formula>AND($L2&lt;&gt;"",$L2&lt;&gt;"OK")</formula>
    </cfRule>
    <cfRule type="expression" priority="2" dxfId="1">
      <formula>$L2="OK"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44" customWidth="1" min="4" max="4"/>
  </cols>
  <sheetData>
    <row r="1">
      <c r="A1" s="1" t="inlineStr">
        <is>
          <t>网段</t>
        </is>
      </c>
      <c r="B1" s="1" t="inlineStr">
        <is>
          <t>网关IP</t>
        </is>
      </c>
      <c r="C1" s="1" t="inlineStr">
        <is>
          <t>用途/位置</t>
        </is>
      </c>
      <c r="D1" s="1" t="inlineStr">
        <is>
          <t>备注</t>
        </is>
      </c>
    </row>
    <row r="2">
      <c r="A2" s="3" t="inlineStr">
        <is>
          <t>192.168.31.0</t>
        </is>
      </c>
      <c r="B2" s="3" t="inlineStr">
        <is>
          <t>192.168.31.1</t>
        </is>
      </c>
      <c r="C2" s="3" t="inlineStr">
        <is>
          <t>办公/家庭路由</t>
        </is>
      </c>
      <c r="D2" s="3" t="inlineStr">
        <is>
          <t>示例行：按实际填写，冲突检查自动对照本表</t>
        </is>
      </c>
    </row>
    <row r="3">
      <c r="A3" s="3" t="inlineStr">
        <is>
          <t>192.168.0.0</t>
        </is>
      </c>
      <c r="B3" s="3" t="inlineStr"/>
      <c r="C3" s="3" t="inlineStr">
        <is>
          <t>设备网（规划中）</t>
        </is>
      </c>
      <c r="D3" s="3" t="inlineStr">
        <is>
          <t>设备 IP 不改时，此网段不接办公交换机</t>
        </is>
      </c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IP 台账 · 使用说明</t>
        </is>
      </c>
    </row>
    <row r="2">
      <c r="A2" s="5" t="inlineStr"/>
    </row>
    <row r="3">
      <c r="A3" s="5" t="inlineStr">
        <is>
          <t>一、三条铁律（全厂一张网时）</t>
        </is>
      </c>
    </row>
    <row r="4">
      <c r="A4" s="5" t="inlineStr">
        <is>
          <t xml:space="preserve">  1. 网关永远占 .1</t>
        </is>
      </c>
    </row>
    <row r="5">
      <c r="A5" s="5" t="inlineStr">
        <is>
          <t xml:space="preserve">  2. 静态设备（PLC/仪表/变频器）只用 .2 ~ .99</t>
        </is>
      </c>
    </row>
    <row r="6">
      <c r="A6" s="5" t="inlineStr">
        <is>
          <t xml:space="preserve">  3. DHCP 池从 .100 起 —— 电脑手动 IP 也从 .2~.99 拿，永不和 DHCP 打架</t>
        </is>
      </c>
    </row>
    <row r="7">
      <c r="A7" s="5" t="inlineStr"/>
    </row>
    <row r="8">
      <c r="A8" s="5" t="inlineStr">
        <is>
          <t>二、新设备上线四步</t>
        </is>
      </c>
    </row>
    <row r="9">
      <c r="A9" s="5" t="inlineStr">
        <is>
          <t xml:space="preserve">  1. 用知造 SIRP「设备发现」扫描目标网段（查重 + 看谁开着 502）</t>
        </is>
      </c>
    </row>
    <row r="10">
      <c r="A10" s="5" t="inlineStr">
        <is>
          <t xml:space="preserve">  2. 对照本表：IP 没被占用、也不在「网关清单」里</t>
        </is>
      </c>
    </row>
    <row r="11">
      <c r="A11" s="5" t="inlineStr">
        <is>
          <t xml:space="preserve">  3. 能改默认 IP 的先改再上线；不能改的按 HANDBOOK《设备 IP 不可改时的组网规范》处理</t>
        </is>
      </c>
    </row>
    <row r="12">
      <c r="A12" s="5" t="inlineStr">
        <is>
          <t xml:space="preserve">  4. 登记进本表（IP/MAC/链路/负责人）</t>
        </is>
      </c>
    </row>
    <row r="13">
      <c r="A13" s="5" t="inlineStr"/>
    </row>
    <row r="14">
      <c r="A14" s="5" t="inlineStr">
        <is>
          <t>三、「冲突状态」列的颜色含义</t>
        </is>
      </c>
    </row>
    <row r="15">
      <c r="A15" s="5" t="inlineStr">
        <is>
          <t xml:space="preserve">  红色 重复IP  —— 同一个 IP 在表里出现多次：同一条链路上必须处理；</t>
        </is>
      </c>
    </row>
    <row r="16">
      <c r="A16" s="5" t="inlineStr">
        <is>
          <t xml:space="preserve">                 不同链路（所在交换机列不同）= 方案三，见 HANDBOOK</t>
        </is>
      </c>
    </row>
    <row r="17">
      <c r="A17" s="5" t="inlineStr">
        <is>
          <t xml:space="preserve">  红色 撞网关  —— 该 IP 与某台路由器/网关相同：必须物理隔离或改地址</t>
        </is>
      </c>
    </row>
    <row r="18">
      <c r="A18" s="5" t="inlineStr">
        <is>
          <t xml:space="preserve">  绿色 OK      —— 当前无冲突</t>
        </is>
      </c>
    </row>
    <row r="19">
      <c r="A19" s="5" t="inlineStr"/>
    </row>
    <row r="20">
      <c r="A20" s="5" t="inlineStr">
        <is>
          <t>四、本表纪律</t>
        </is>
      </c>
    </row>
    <row r="21">
      <c r="A21" s="5" t="inlineStr">
        <is>
          <t xml:space="preserve">  · 只在本表登记过的 IP 才允许上线；新设备先查表再通电</t>
        </is>
      </c>
    </row>
    <row r="22">
      <c r="A22" s="5" t="inlineStr">
        <is>
          <t xml:space="preserve">  · 前三行是示例（教三种情况），看完删掉</t>
        </is>
      </c>
    </row>
    <row r="23">
      <c r="A23" s="5" t="inlineStr">
        <is>
          <t xml:space="preserve">  · MAC 地址在设备铭牌或 SIRP「设备发现」扫描结果里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2026-10-30T01:26:54Z</dcterms:created>
  <dcterms:modified xsi:type="dcterms:W3CDTF">2026-10-30T01:26:55Z</dcterms:modified>
</cp:coreProperties>
</file>